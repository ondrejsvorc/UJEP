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JEP\AVD1\"/>
    </mc:Choice>
  </mc:AlternateContent>
  <xr:revisionPtr revIDLastSave="0" documentId="13_ncr:1_{CE8E508B-D9E7-4D4F-B103-818B5B273B3D}" xr6:coauthVersionLast="47" xr6:coauthVersionMax="47" xr10:uidLastSave="{00000000-0000-0000-0000-000000000000}"/>
  <bookViews>
    <workbookView xWindow="-120" yWindow="-120" windowWidth="29040" windowHeight="17520" activeTab="3" xr2:uid="{3095BA0B-7F52-4A9A-9669-92A26B1E4A80}"/>
  </bookViews>
  <sheets>
    <sheet name="zadání" sheetId="1" r:id="rId1"/>
    <sheet name="rozdělení obchodníků" sheetId="6" r:id="rId2"/>
    <sheet name="prodeje" sheetId="5" r:id="rId3"/>
    <sheet name="Obchodní plán" sheetId="7" r:id="rId4"/>
  </sheets>
  <definedNames>
    <definedName name="_xlnm._FilterDatabase" localSheetId="2" hidden="1">prodeje!$B$2:$I$521</definedName>
    <definedName name="_xlnm._FilterDatabase" localSheetId="1" hidden="1">'rozdělení obchodníků'!$B$2:$E$34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22" i="5" l="1"/>
  <c r="E31" i="7"/>
  <c r="I7" i="5"/>
  <c r="I8" i="5"/>
  <c r="I9" i="5"/>
  <c r="I10" i="5"/>
  <c r="I11" i="5"/>
  <c r="I12" i="5"/>
  <c r="I13" i="5"/>
  <c r="I14" i="5"/>
  <c r="I15" i="5"/>
  <c r="I76" i="5"/>
  <c r="I77" i="5"/>
  <c r="I457" i="5"/>
  <c r="I354" i="5"/>
  <c r="I238" i="5"/>
  <c r="I423" i="5"/>
  <c r="I424" i="5"/>
  <c r="I85" i="5"/>
  <c r="I468" i="5"/>
  <c r="I469" i="5"/>
  <c r="I36" i="5"/>
  <c r="I70" i="5"/>
  <c r="I239" i="5"/>
  <c r="I355" i="5"/>
  <c r="I356" i="5"/>
  <c r="I357" i="5"/>
  <c r="I37" i="5"/>
  <c r="I71" i="5"/>
  <c r="I72" i="5"/>
  <c r="I425" i="5"/>
  <c r="I426" i="5"/>
  <c r="I427" i="5"/>
  <c r="I38" i="5"/>
  <c r="I39" i="5"/>
  <c r="I40" i="5"/>
  <c r="I358" i="5"/>
  <c r="I359" i="5"/>
  <c r="I360" i="5"/>
  <c r="I73" i="5"/>
  <c r="I240" i="5"/>
  <c r="I241" i="5"/>
  <c r="I428" i="5"/>
  <c r="I429" i="5"/>
  <c r="I430" i="5"/>
  <c r="I458" i="5"/>
  <c r="I361" i="5"/>
  <c r="I362" i="5"/>
  <c r="I363" i="5"/>
  <c r="I364" i="5"/>
  <c r="I365" i="5"/>
  <c r="I89" i="5"/>
  <c r="I90" i="5"/>
  <c r="I93" i="5"/>
  <c r="I64" i="5"/>
  <c r="I16" i="5"/>
  <c r="I41" i="5"/>
  <c r="I415" i="5"/>
  <c r="I230" i="5"/>
  <c r="I74" i="5"/>
  <c r="I242" i="5"/>
  <c r="I243" i="5"/>
  <c r="I374" i="5"/>
  <c r="I375" i="5"/>
  <c r="I244" i="5"/>
  <c r="I42" i="5"/>
  <c r="I94" i="5"/>
  <c r="I78" i="5"/>
  <c r="I459" i="5"/>
  <c r="I209" i="5"/>
  <c r="I231" i="5"/>
  <c r="I232" i="5"/>
  <c r="I233" i="5"/>
  <c r="I43" i="5"/>
  <c r="I210" i="5"/>
  <c r="I211" i="5"/>
  <c r="I17" i="5"/>
  <c r="I44" i="5"/>
  <c r="I470" i="5"/>
  <c r="I376" i="5"/>
  <c r="I212" i="5"/>
  <c r="I213" i="5"/>
  <c r="I245" i="5"/>
  <c r="I246" i="5"/>
  <c r="I45" i="5"/>
  <c r="I18" i="5"/>
  <c r="I91" i="5"/>
  <c r="I92" i="5"/>
  <c r="I46" i="5"/>
  <c r="I247" i="5"/>
  <c r="I95" i="5"/>
  <c r="I96" i="5"/>
  <c r="I118" i="5"/>
  <c r="I119" i="5"/>
  <c r="I120" i="5"/>
  <c r="I121" i="5"/>
  <c r="I19" i="5"/>
  <c r="I102" i="5"/>
  <c r="I52" i="5"/>
  <c r="I53" i="5"/>
  <c r="I310" i="5"/>
  <c r="I311" i="5"/>
  <c r="I214" i="5"/>
  <c r="I215" i="5"/>
  <c r="I471" i="5"/>
  <c r="I122" i="5"/>
  <c r="I123" i="5"/>
  <c r="I124" i="5"/>
  <c r="I161" i="5"/>
  <c r="I162" i="5"/>
  <c r="I115" i="5"/>
  <c r="I116" i="5"/>
  <c r="I163" i="5"/>
  <c r="I164" i="5"/>
  <c r="I166" i="5"/>
  <c r="I167" i="5"/>
  <c r="I442" i="5"/>
  <c r="I443" i="5"/>
  <c r="I216" i="5"/>
  <c r="I217" i="5"/>
  <c r="I125" i="5"/>
  <c r="I126" i="5"/>
  <c r="I127" i="5"/>
  <c r="I128" i="5"/>
  <c r="I377" i="5"/>
  <c r="I378" i="5"/>
  <c r="I131" i="5"/>
  <c r="I132" i="5"/>
  <c r="I379" i="5"/>
  <c r="I380" i="5"/>
  <c r="I381" i="5"/>
  <c r="I382" i="5"/>
  <c r="I383" i="5"/>
  <c r="I341" i="5"/>
  <c r="I139" i="5"/>
  <c r="I140" i="5"/>
  <c r="I86" i="5"/>
  <c r="I460" i="5"/>
  <c r="I65" i="5"/>
  <c r="I129" i="5"/>
  <c r="I145" i="5"/>
  <c r="I130" i="5"/>
  <c r="I276" i="5"/>
  <c r="I133" i="5"/>
  <c r="I277" i="5"/>
  <c r="I278" i="5"/>
  <c r="I134" i="5"/>
  <c r="I279" i="5"/>
  <c r="I168" i="5"/>
  <c r="I485" i="5"/>
  <c r="I155" i="5"/>
  <c r="I280" i="5"/>
  <c r="I366" i="5"/>
  <c r="I169" i="5"/>
  <c r="I281" i="5"/>
  <c r="I367" i="5"/>
  <c r="I170" i="5"/>
  <c r="I282" i="5"/>
  <c r="I135" i="5"/>
  <c r="I283" i="5"/>
  <c r="I165" i="5"/>
  <c r="I384" i="5"/>
  <c r="I385" i="5"/>
  <c r="I386" i="5"/>
  <c r="I387" i="5"/>
  <c r="I342" i="5"/>
  <c r="I343" i="5"/>
  <c r="I344" i="5"/>
  <c r="I345" i="5"/>
  <c r="I79" i="5"/>
  <c r="I20" i="5"/>
  <c r="I21" i="5"/>
  <c r="I171" i="5"/>
  <c r="I172" i="5"/>
  <c r="I173" i="5"/>
  <c r="I174" i="5"/>
  <c r="I175" i="5"/>
  <c r="I176" i="5"/>
  <c r="I177" i="5"/>
  <c r="I178" i="5"/>
  <c r="I312" i="5"/>
  <c r="I313" i="5"/>
  <c r="I179" i="5"/>
  <c r="I180" i="5"/>
  <c r="I284" i="5"/>
  <c r="I285" i="5"/>
  <c r="I218" i="5"/>
  <c r="I286" i="5"/>
  <c r="I287" i="5"/>
  <c r="I219" i="5"/>
  <c r="I220" i="5"/>
  <c r="I181" i="5"/>
  <c r="I388" i="5"/>
  <c r="I389" i="5"/>
  <c r="I390" i="5"/>
  <c r="I346" i="5"/>
  <c r="I66" i="5"/>
  <c r="I97" i="5"/>
  <c r="I80" i="5"/>
  <c r="I22" i="5"/>
  <c r="I67" i="5"/>
  <c r="I68" i="5"/>
  <c r="I54" i="5"/>
  <c r="I98" i="5"/>
  <c r="I182" i="5"/>
  <c r="I486" i="5"/>
  <c r="I47" i="5"/>
  <c r="I55" i="5"/>
  <c r="I234" i="5"/>
  <c r="I183" i="5"/>
  <c r="I487" i="5"/>
  <c r="I23" i="5"/>
  <c r="I56" i="5"/>
  <c r="I248" i="5"/>
  <c r="I184" i="5"/>
  <c r="I488" i="5"/>
  <c r="I416" i="5"/>
  <c r="I57" i="5"/>
  <c r="I314" i="5"/>
  <c r="I185" i="5"/>
  <c r="I489" i="5"/>
  <c r="I315" i="5"/>
  <c r="I58" i="5"/>
  <c r="I136" i="5"/>
  <c r="I186" i="5"/>
  <c r="I490" i="5"/>
  <c r="I137" i="5"/>
  <c r="I81" i="5"/>
  <c r="I99" i="5"/>
  <c r="I59" i="5"/>
  <c r="I138" i="5"/>
  <c r="I187" i="5"/>
  <c r="I491" i="5"/>
  <c r="I141" i="5"/>
  <c r="I221" i="5"/>
  <c r="I142" i="5"/>
  <c r="I391" i="5"/>
  <c r="I222" i="5"/>
  <c r="I316" i="5"/>
  <c r="I188" i="5"/>
  <c r="I492" i="5"/>
  <c r="I493" i="5"/>
  <c r="I143" i="5"/>
  <c r="I223" i="5"/>
  <c r="I144" i="5"/>
  <c r="I392" i="5"/>
  <c r="I224" i="5"/>
  <c r="I317" i="5"/>
  <c r="I189" i="5"/>
  <c r="I494" i="5"/>
  <c r="I60" i="5"/>
  <c r="I48" i="5"/>
  <c r="I190" i="5"/>
  <c r="I495" i="5"/>
  <c r="I235" i="5"/>
  <c r="I393" i="5"/>
  <c r="I394" i="5"/>
  <c r="I395" i="5"/>
  <c r="I396" i="5"/>
  <c r="I24" i="5"/>
  <c r="I397" i="5"/>
  <c r="I398" i="5"/>
  <c r="I399" i="5"/>
  <c r="I400" i="5"/>
  <c r="I401" i="5"/>
  <c r="I402" i="5"/>
  <c r="I403" i="5"/>
  <c r="I404" i="5"/>
  <c r="I347" i="5"/>
  <c r="I348" i="5"/>
  <c r="I349" i="5"/>
  <c r="I350" i="5"/>
  <c r="I351" i="5"/>
  <c r="I82" i="5"/>
  <c r="I83" i="5"/>
  <c r="I84" i="5"/>
  <c r="I405" i="5"/>
  <c r="I352" i="5"/>
  <c r="I236" i="5"/>
  <c r="I191" i="5"/>
  <c r="I249" i="5"/>
  <c r="I192" i="5"/>
  <c r="I250" i="5"/>
  <c r="I193" i="5"/>
  <c r="I194" i="5"/>
  <c r="I25" i="5"/>
  <c r="I406" i="5"/>
  <c r="I407" i="5"/>
  <c r="I353" i="5"/>
  <c r="I195" i="5"/>
  <c r="I461" i="5"/>
  <c r="I288" i="5"/>
  <c r="I251" i="5"/>
  <c r="I368" i="5"/>
  <c r="I26" i="5"/>
  <c r="I496" i="5"/>
  <c r="I252" i="5"/>
  <c r="I289" i="5"/>
  <c r="I290" i="5"/>
  <c r="I49" i="5"/>
  <c r="I369" i="5"/>
  <c r="I497" i="5"/>
  <c r="I237" i="5"/>
  <c r="I225" i="5"/>
  <c r="I27" i="5"/>
  <c r="I253" i="5"/>
  <c r="I28" i="5"/>
  <c r="I417" i="5"/>
  <c r="I254" i="5"/>
  <c r="I255" i="5"/>
  <c r="I472" i="5"/>
  <c r="I50" i="5"/>
  <c r="I226" i="5"/>
  <c r="I227" i="5"/>
  <c r="I256" i="5"/>
  <c r="I257" i="5"/>
  <c r="I431" i="5"/>
  <c r="I432" i="5"/>
  <c r="I473" i="5"/>
  <c r="I29" i="5"/>
  <c r="I258" i="5"/>
  <c r="I228" i="5"/>
  <c r="I30" i="5"/>
  <c r="I259" i="5"/>
  <c r="I51" i="5"/>
  <c r="I433" i="5"/>
  <c r="I434" i="5"/>
  <c r="I408" i="5"/>
  <c r="I196" i="5"/>
  <c r="I100" i="5"/>
  <c r="I101" i="5"/>
  <c r="I103" i="5"/>
  <c r="I409" i="5"/>
  <c r="I474" i="5"/>
  <c r="I475" i="5"/>
  <c r="I291" i="5"/>
  <c r="I292" i="5"/>
  <c r="I476" i="5"/>
  <c r="I293" i="5"/>
  <c r="I31" i="5"/>
  <c r="I498" i="5"/>
  <c r="I499" i="5"/>
  <c r="I500" i="5"/>
  <c r="I146" i="5"/>
  <c r="I147" i="5"/>
  <c r="I148" i="5"/>
  <c r="I149" i="5"/>
  <c r="I444" i="5"/>
  <c r="I294" i="5"/>
  <c r="I150" i="5"/>
  <c r="I151" i="5"/>
  <c r="I152" i="5"/>
  <c r="I153" i="5"/>
  <c r="I445" i="5"/>
  <c r="I295" i="5"/>
  <c r="I296" i="5"/>
  <c r="I154" i="5"/>
  <c r="I156" i="5"/>
  <c r="I446" i="5"/>
  <c r="I447" i="5"/>
  <c r="I297" i="5"/>
  <c r="I318" i="5"/>
  <c r="I319" i="5"/>
  <c r="I320" i="5"/>
  <c r="I418" i="5"/>
  <c r="I260" i="5"/>
  <c r="I448" i="5"/>
  <c r="I261" i="5"/>
  <c r="I262" i="5"/>
  <c r="I449" i="5"/>
  <c r="I419" i="5"/>
  <c r="I263" i="5"/>
  <c r="I450" i="5"/>
  <c r="I451" i="5"/>
  <c r="I321" i="5"/>
  <c r="I322" i="5"/>
  <c r="I323" i="5"/>
  <c r="I324" i="5"/>
  <c r="I104" i="5"/>
  <c r="I105" i="5"/>
  <c r="I106" i="5"/>
  <c r="I107" i="5"/>
  <c r="I108" i="5"/>
  <c r="I75" i="5"/>
  <c r="I325" i="5"/>
  <c r="I326" i="5"/>
  <c r="I109" i="5"/>
  <c r="I110" i="5"/>
  <c r="I111" i="5"/>
  <c r="I112" i="5"/>
  <c r="I327" i="5"/>
  <c r="I328" i="5"/>
  <c r="I462" i="5"/>
  <c r="I197" i="5"/>
  <c r="I264" i="5"/>
  <c r="I265" i="5"/>
  <c r="I410" i="5"/>
  <c r="I266" i="5"/>
  <c r="I32" i="5"/>
  <c r="I329" i="5"/>
  <c r="I330" i="5"/>
  <c r="I267" i="5"/>
  <c r="I268" i="5"/>
  <c r="I420" i="5"/>
  <c r="I269" i="5"/>
  <c r="I331" i="5"/>
  <c r="I332" i="5"/>
  <c r="I270" i="5"/>
  <c r="I271" i="5"/>
  <c r="I477" i="5"/>
  <c r="I478" i="5"/>
  <c r="I501" i="5"/>
  <c r="I33" i="5"/>
  <c r="I421" i="5"/>
  <c r="I480" i="5"/>
  <c r="I481" i="5"/>
  <c r="I502" i="5"/>
  <c r="I503" i="5"/>
  <c r="I272" i="5"/>
  <c r="I482" i="5"/>
  <c r="I483" i="5"/>
  <c r="I504" i="5"/>
  <c r="I333" i="5"/>
  <c r="I334" i="5"/>
  <c r="I335" i="5"/>
  <c r="I34" i="5"/>
  <c r="I484" i="5"/>
  <c r="I505" i="5"/>
  <c r="I157" i="5"/>
  <c r="I158" i="5"/>
  <c r="I159" i="5"/>
  <c r="I336" i="5"/>
  <c r="I198" i="5"/>
  <c r="I199" i="5"/>
  <c r="I200" i="5"/>
  <c r="I337" i="5"/>
  <c r="I411" i="5"/>
  <c r="I61" i="5"/>
  <c r="I62" i="5"/>
  <c r="I63" i="5"/>
  <c r="I338" i="5"/>
  <c r="I463" i="5"/>
  <c r="I87" i="5"/>
  <c r="I88" i="5"/>
  <c r="I464" i="5"/>
  <c r="I465" i="5"/>
  <c r="I506" i="5"/>
  <c r="I507" i="5"/>
  <c r="I508" i="5"/>
  <c r="I412" i="5"/>
  <c r="I273" i="5"/>
  <c r="I113" i="5"/>
  <c r="I274" i="5"/>
  <c r="I339" i="5"/>
  <c r="I452" i="5"/>
  <c r="I453" i="5"/>
  <c r="I454" i="5"/>
  <c r="I455" i="5"/>
  <c r="I435" i="5"/>
  <c r="I456" i="5"/>
  <c r="I436" i="5"/>
  <c r="I114" i="5"/>
  <c r="I437" i="5"/>
  <c r="I340" i="5"/>
  <c r="I370" i="5"/>
  <c r="I201" i="5"/>
  <c r="I371" i="5"/>
  <c r="I202" i="5"/>
  <c r="I372" i="5"/>
  <c r="I203" i="5"/>
  <c r="I373" i="5"/>
  <c r="I204" i="5"/>
  <c r="I438" i="5"/>
  <c r="I205" i="5"/>
  <c r="I479" i="5"/>
  <c r="I206" i="5"/>
  <c r="I439" i="5"/>
  <c r="I207" i="5"/>
  <c r="I440" i="5"/>
  <c r="I160" i="5"/>
  <c r="I441" i="5"/>
  <c r="I208" i="5"/>
  <c r="I117" i="5"/>
  <c r="I69" i="5"/>
  <c r="I466" i="5"/>
  <c r="I467" i="5"/>
  <c r="I229" i="5"/>
  <c r="I298" i="5"/>
  <c r="I275" i="5"/>
  <c r="I299" i="5"/>
  <c r="I422" i="5"/>
  <c r="I300" i="5"/>
  <c r="I301" i="5"/>
  <c r="I302" i="5"/>
  <c r="I303" i="5"/>
  <c r="I304" i="5"/>
  <c r="I305" i="5"/>
  <c r="I306" i="5"/>
  <c r="I307" i="5"/>
  <c r="I308" i="5"/>
  <c r="I309" i="5"/>
  <c r="I413" i="5"/>
  <c r="I414" i="5"/>
  <c r="I35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4" i="5"/>
  <c r="I5" i="5"/>
  <c r="I6" i="5"/>
  <c r="I3" i="5"/>
  <c r="E30" i="7"/>
  <c r="D20" i="7"/>
</calcChain>
</file>

<file path=xl/sharedStrings.xml><?xml version="1.0" encoding="utf-8"?>
<sst xmlns="http://schemas.openxmlformats.org/spreadsheetml/2006/main" count="2207" uniqueCount="93">
  <si>
    <t>Datum</t>
  </si>
  <si>
    <t>ID prodeje</t>
  </si>
  <si>
    <t>P088</t>
  </si>
  <si>
    <t>P073</t>
  </si>
  <si>
    <t>P043</t>
  </si>
  <si>
    <t>P023</t>
  </si>
  <si>
    <t>P058</t>
  </si>
  <si>
    <t>P063</t>
  </si>
  <si>
    <t>P072</t>
  </si>
  <si>
    <t>P037</t>
  </si>
  <si>
    <t>P031</t>
  </si>
  <si>
    <t>P032</t>
  </si>
  <si>
    <t>P136</t>
  </si>
  <si>
    <t>P040</t>
  </si>
  <si>
    <t>P222</t>
  </si>
  <si>
    <t>P220</t>
  </si>
  <si>
    <t>P127</t>
  </si>
  <si>
    <t>P111</t>
  </si>
  <si>
    <t>P112</t>
  </si>
  <si>
    <t>Obchodník</t>
  </si>
  <si>
    <t>Region</t>
  </si>
  <si>
    <t>Bouše</t>
  </si>
  <si>
    <t>Filipovský</t>
  </si>
  <si>
    <t>P005</t>
  </si>
  <si>
    <t>Havelka</t>
  </si>
  <si>
    <t>Holý</t>
  </si>
  <si>
    <t>Hrubá</t>
  </si>
  <si>
    <t>Janovčík</t>
  </si>
  <si>
    <t>Marvan</t>
  </si>
  <si>
    <t>P008</t>
  </si>
  <si>
    <t>Mladá</t>
  </si>
  <si>
    <t>P021</t>
  </si>
  <si>
    <t>Mladý</t>
  </si>
  <si>
    <t>Praha</t>
  </si>
  <si>
    <t>Náhlovská</t>
  </si>
  <si>
    <t>Nebohý</t>
  </si>
  <si>
    <t>Novák</t>
  </si>
  <si>
    <t>Novotný</t>
  </si>
  <si>
    <t>Pavelka</t>
  </si>
  <si>
    <t>P119</t>
  </si>
  <si>
    <t>Šlajs</t>
  </si>
  <si>
    <t>P007</t>
  </si>
  <si>
    <t>Trlík</t>
  </si>
  <si>
    <t>Tuček</t>
  </si>
  <si>
    <t>P002</t>
  </si>
  <si>
    <t>Veselá</t>
  </si>
  <si>
    <t>Vodička</t>
  </si>
  <si>
    <t>Zouvar</t>
  </si>
  <si>
    <t>P102</t>
  </si>
  <si>
    <t>Včelník</t>
  </si>
  <si>
    <t>P020</t>
  </si>
  <si>
    <t>Potůček</t>
  </si>
  <si>
    <t>P035</t>
  </si>
  <si>
    <t>Bohatá</t>
  </si>
  <si>
    <t>P059</t>
  </si>
  <si>
    <t>P060</t>
  </si>
  <si>
    <t>P113</t>
  </si>
  <si>
    <t>Gondolán</t>
  </si>
  <si>
    <t>ID prodejce</t>
  </si>
  <si>
    <t>Janoušek</t>
  </si>
  <si>
    <t>P081</t>
  </si>
  <si>
    <t>Hu Dyong</t>
  </si>
  <si>
    <t>P083</t>
  </si>
  <si>
    <t>Kabik</t>
  </si>
  <si>
    <t>P089</t>
  </si>
  <si>
    <t>Valleryj</t>
  </si>
  <si>
    <t>Nástup</t>
  </si>
  <si>
    <t>Skupina produktů</t>
  </si>
  <si>
    <t>Smutný</t>
  </si>
  <si>
    <t>Staroch</t>
  </si>
  <si>
    <t>Tvrdík</t>
  </si>
  <si>
    <t>Chudý</t>
  </si>
  <si>
    <t>Prodejní plán</t>
  </si>
  <si>
    <t>Měsíc</t>
  </si>
  <si>
    <t>Morava</t>
  </si>
  <si>
    <t>Čechy</t>
  </si>
  <si>
    <t>typ</t>
  </si>
  <si>
    <t>nákup</t>
  </si>
  <si>
    <t>Výše plánu prodejů</t>
  </si>
  <si>
    <t>typ fondu</t>
  </si>
  <si>
    <t>Konzervativní fond</t>
  </si>
  <si>
    <t>Akciový fond</t>
  </si>
  <si>
    <t>Vyvážený  fond</t>
  </si>
  <si>
    <t>odkup</t>
  </si>
  <si>
    <t>výše investice</t>
  </si>
  <si>
    <t>investice</t>
  </si>
  <si>
    <t>nastoupili později než v říjnu 2025</t>
  </si>
  <si>
    <t>Takže</t>
  </si>
  <si>
    <t>Za říjen realita</t>
  </si>
  <si>
    <t>Za říjen plán</t>
  </si>
  <si>
    <t>96.15 %</t>
  </si>
  <si>
    <t>(ale je tam duplicitní ID prodeje … jinak by to vyšlo jinak)</t>
  </si>
  <si>
    <t>k čemuž ale nemůže nastat, protože export takových dat bude pocházet ze systému, který to z principu musí mít ošetřené tak, že ID bude skutečně unikátní identifikátor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</si>
</sst>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Kč&quot;"/>
  </numFmts>
  <fonts count="3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3" fontId="0" fillId="0" borderId="0" xfId="0" applyNumberFormat="1"/>
    <xf numFmtId="164" fontId="0" fillId="0" borderId="0" xfId="0" applyNumberFormat="1"/>
    <xf numFmtId="0" fontId="0" fillId="0" borderId="1" xfId="0" applyBorder="1"/>
    <xf numFmtId="17" fontId="0" fillId="0" borderId="1" xfId="0" applyNumberFormat="1" applyBorder="1"/>
    <xf numFmtId="164" fontId="0" fillId="0" borderId="1" xfId="0" applyNumberFormat="1" applyBorder="1"/>
    <xf numFmtId="0" fontId="0" fillId="2" borderId="1" xfId="0" applyFill="1" applyBorder="1"/>
    <xf numFmtId="0" fontId="2" fillId="0" borderId="0" xfId="0" applyFont="1"/>
    <xf numFmtId="3" fontId="2" fillId="0" borderId="0" xfId="0" applyNumberFormat="1" applyFont="1"/>
    <xf numFmtId="0" fontId="0" fillId="3" borderId="0" xfId="0" applyFill="1"/>
    <xf numFmtId="14" fontId="0" fillId="3" borderId="0" xfId="0" applyNumberFormat="1" applyFill="1"/>
    <xf numFmtId="17" fontId="0" fillId="4" borderId="1" xfId="0" applyNumberFormat="1" applyFill="1" applyBorder="1"/>
    <xf numFmtId="0" fontId="0" fillId="4" borderId="1" xfId="0" applyFill="1" applyBorder="1"/>
    <xf numFmtId="164" fontId="0" fillId="4" borderId="1" xfId="0" applyNumberFormat="1" applyFill="1" applyBorder="1"/>
  </cellXfs>
  <cellStyles count="1">
    <cellStyle name="Normální" xfId="0" builtinId="0"/>
  </cellStyles>
  <dxfs count="7">
    <dxf>
      <numFmt numFmtId="3" formatCode="#,##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numFmt numFmtId="3" formatCode="#,##0"/>
    </dxf>
    <dxf>
      <numFmt numFmtId="19" formatCode="dd/mm/yyyy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386953</xdr:colOff>
      <xdr:row>17</xdr:row>
      <xdr:rowOff>107155</xdr:rowOff>
    </xdr:to>
    <xdr:sp macro="" textlink="">
      <xdr:nvSpPr>
        <xdr:cNvPr id="2" name="TextovéPole 1">
          <a:extLst>
            <a:ext uri="{FF2B5EF4-FFF2-40B4-BE49-F238E27FC236}">
              <a16:creationId xmlns:a16="http://schemas.microsoft.com/office/drawing/2014/main" id="{E84EC19A-FB03-443C-9484-705B9BF31915}"/>
            </a:ext>
          </a:extLst>
        </xdr:cNvPr>
        <xdr:cNvSpPr txBox="1"/>
      </xdr:nvSpPr>
      <xdr:spPr>
        <a:xfrm>
          <a:off x="0" y="0"/>
          <a:ext cx="7673578" cy="33456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Zadání:</a:t>
          </a:r>
        </a:p>
        <a:p>
          <a:r>
            <a:rPr lang="cs-C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Pracujete v útvaru, jenž zpracovává analýzy prodejů prodejní sítě firmy Investice s.r.o.</a:t>
          </a:r>
        </a:p>
        <a:p>
          <a:endParaRPr lang="cs-CZ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cs-C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Firma</a:t>
          </a:r>
          <a:r>
            <a:rPr lang="cs-CZ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Investice s.r.o. funguje jako prodejce investic různých investičních společností pro koncové klienty. </a:t>
          </a:r>
        </a:p>
        <a:p>
          <a:endParaRPr lang="cs-CZ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cs-CZ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Samozřejmě jako v každé obchodní firmě, je nastaven prodejní plán za společnost i rozdělení pro jednotlivé regiony. Rozdělení mezi  konkrétní obchodníky v daném regionu je rovnoměrné (detail je na listu Obchodní plán).  </a:t>
          </a:r>
        </a:p>
        <a:p>
          <a:endParaRPr lang="cs-CZ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cs-C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Podkladové informace</a:t>
          </a:r>
          <a:r>
            <a:rPr lang="cs-CZ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 realizovaných prodejích, které jste získali z dataskladu máte na dalších listech tohoto souboru.</a:t>
          </a:r>
          <a:endParaRPr lang="cs-CZ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cs-CZ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cs-CZ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cs-CZ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Na aktuální poradě manažerů, kde se budou procházet prodejní výsledky společnosti Investice s.r.o.. Vám připadl úkol odprezentovat výsledky prodeje investic za měsíc říjen 2025. Očekávájí se od vás dvě informace:</a:t>
          </a:r>
          <a:br>
            <a:rPr lang="cs-CZ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cs-CZ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jak se podařilo splnit prodejní plán měsíce</a:t>
          </a:r>
          <a:br>
            <a:rPr lang="cs-CZ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cs-CZ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jak by vypadalo plnění, pokud by nebyl žádný obchodník s nulovým prodejem</a:t>
          </a:r>
          <a:endParaRPr lang="cs-CZ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cs-CZ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cs-CZ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B5C246-2BF7-446A-BC80-52FABD1E2DD3}" name="Tabulka1" displayName="Tabulka1" ref="B2:I522" totalsRowCount="1" headerRowDxfId="2">
  <autoFilter ref="B2:I521" xr:uid="{D3B5C246-2BF7-446A-BC80-52FABD1E2DD3}">
    <filterColumn colId="0">
      <filters>
        <dateGroupItem year="2025" month="10" dateTimeGrouping="month"/>
      </filters>
    </filterColumn>
    <filterColumn colId="4">
      <filters>
        <filter val="nákup"/>
      </filters>
    </filterColumn>
  </autoFilter>
  <sortState xmlns:xlrd2="http://schemas.microsoft.com/office/spreadsheetml/2017/richdata2" ref="B16:I508">
    <sortCondition ref="G2:G521"/>
  </sortState>
  <tableColumns count="8">
    <tableColumn id="1" xr3:uid="{97C2048F-4126-4E15-A264-73C3C24970C7}" name="Datum" dataDxfId="4" totalsRowDxfId="1"/>
    <tableColumn id="2" xr3:uid="{2D4BBE8A-EC4E-4CB6-9797-3DAC0082AD2C}" name="ID prodeje"/>
    <tableColumn id="3" xr3:uid="{2984EB6E-C926-40C6-AEA2-96571E5D5E32}" name="Skupina produktů"/>
    <tableColumn id="4" xr3:uid="{D7077DDE-E3E9-4A42-8C28-E7C7436800BD}" name="typ fondu"/>
    <tableColumn id="5" xr3:uid="{D5349F97-3F7E-4C4A-8395-DE93B354328E}" name="typ"/>
    <tableColumn id="6" xr3:uid="{74BB11B3-5F96-4757-9324-1102CF92251C}" name="ID prodejce"/>
    <tableColumn id="7" xr3:uid="{4A61406E-1799-48D5-8F61-CE1D372DD3CE}" name="výše investice" totalsRowFunction="sum" dataDxfId="3" totalsRowDxfId="0"/>
    <tableColumn id="8" xr3:uid="{57A68D5E-803D-460C-B450-53798B6A1B6F}" name="Region">
      <calculatedColumnFormula>VLOOKUP(G3,'rozdělení obchodníků'!B:D,3, 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BF42A-8CD6-4237-A231-43DC87C170B1}">
  <sheetPr>
    <tabColor rgb="FFFFFF00"/>
  </sheetPr>
  <dimension ref="A1"/>
  <sheetViews>
    <sheetView showGridLines="0" zoomScale="190" zoomScaleNormal="190" workbookViewId="0">
      <selection activeCell="E20" sqref="E20"/>
    </sheetView>
  </sheetViews>
  <sheetFormatPr defaultRowHeight="15" x14ac:dyDescent="0.25"/>
  <sheetData/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C75A2-60A1-4FF6-93CD-977DC54C7B60}">
  <dimension ref="B2:G34"/>
  <sheetViews>
    <sheetView workbookViewId="0">
      <pane ySplit="2" topLeftCell="A3" activePane="bottomLeft" state="frozen"/>
      <selection pane="bottomLeft" activeCell="D31" sqref="D31"/>
    </sheetView>
  </sheetViews>
  <sheetFormatPr defaultRowHeight="15" x14ac:dyDescent="0.25"/>
  <cols>
    <col min="2" max="2" width="11.140625" customWidth="1"/>
    <col min="3" max="3" width="10.42578125" bestFit="1" customWidth="1"/>
    <col min="4" max="4" width="15" bestFit="1" customWidth="1"/>
    <col min="5" max="5" width="13.5703125" bestFit="1" customWidth="1"/>
    <col min="8" max="8" width="18.5703125" bestFit="1" customWidth="1"/>
  </cols>
  <sheetData>
    <row r="2" spans="2:7" x14ac:dyDescent="0.25">
      <c r="B2" t="s">
        <v>58</v>
      </c>
      <c r="C2" t="s">
        <v>19</v>
      </c>
      <c r="D2" t="s">
        <v>20</v>
      </c>
      <c r="E2" t="s">
        <v>66</v>
      </c>
    </row>
    <row r="3" spans="2:7" x14ac:dyDescent="0.25">
      <c r="B3" t="s">
        <v>44</v>
      </c>
      <c r="C3" t="s">
        <v>43</v>
      </c>
      <c r="D3" t="s">
        <v>33</v>
      </c>
      <c r="E3" s="1">
        <v>45901</v>
      </c>
      <c r="G3" t="s">
        <v>86</v>
      </c>
    </row>
    <row r="4" spans="2:7" x14ac:dyDescent="0.25">
      <c r="B4" s="10" t="s">
        <v>23</v>
      </c>
      <c r="C4" s="10" t="s">
        <v>22</v>
      </c>
      <c r="D4" s="10" t="s">
        <v>74</v>
      </c>
      <c r="E4" s="11">
        <v>45962</v>
      </c>
    </row>
    <row r="5" spans="2:7" x14ac:dyDescent="0.25">
      <c r="B5" t="s">
        <v>41</v>
      </c>
      <c r="C5" t="s">
        <v>40</v>
      </c>
      <c r="D5" t="s">
        <v>33</v>
      </c>
      <c r="E5" s="1">
        <v>45809</v>
      </c>
    </row>
    <row r="6" spans="2:7" x14ac:dyDescent="0.25">
      <c r="B6" t="s">
        <v>29</v>
      </c>
      <c r="C6" t="s">
        <v>28</v>
      </c>
      <c r="D6" t="s">
        <v>75</v>
      </c>
      <c r="E6" s="1">
        <v>45717</v>
      </c>
    </row>
    <row r="7" spans="2:7" x14ac:dyDescent="0.25">
      <c r="B7" t="s">
        <v>50</v>
      </c>
      <c r="C7" t="s">
        <v>51</v>
      </c>
      <c r="D7" t="s">
        <v>33</v>
      </c>
      <c r="E7" s="1">
        <v>44958</v>
      </c>
    </row>
    <row r="8" spans="2:7" x14ac:dyDescent="0.25">
      <c r="B8" t="s">
        <v>31</v>
      </c>
      <c r="C8" t="s">
        <v>30</v>
      </c>
      <c r="D8" t="s">
        <v>75</v>
      </c>
      <c r="E8" s="1">
        <v>45566</v>
      </c>
    </row>
    <row r="9" spans="2:7" x14ac:dyDescent="0.25">
      <c r="B9" t="s">
        <v>5</v>
      </c>
      <c r="C9" t="s">
        <v>36</v>
      </c>
      <c r="D9" t="s">
        <v>33</v>
      </c>
      <c r="E9" s="1">
        <v>45748</v>
      </c>
    </row>
    <row r="10" spans="2:7" x14ac:dyDescent="0.25">
      <c r="B10" t="s">
        <v>10</v>
      </c>
      <c r="C10" t="s">
        <v>46</v>
      </c>
      <c r="D10" t="s">
        <v>75</v>
      </c>
      <c r="E10" s="1">
        <v>44958</v>
      </c>
    </row>
    <row r="11" spans="2:7" x14ac:dyDescent="0.25">
      <c r="B11" s="10" t="s">
        <v>11</v>
      </c>
      <c r="C11" s="10" t="s">
        <v>45</v>
      </c>
      <c r="D11" s="10" t="s">
        <v>75</v>
      </c>
      <c r="E11" s="11">
        <v>45962</v>
      </c>
    </row>
    <row r="12" spans="2:7" x14ac:dyDescent="0.25">
      <c r="B12" t="s">
        <v>52</v>
      </c>
      <c r="C12" t="s">
        <v>53</v>
      </c>
      <c r="D12" t="s">
        <v>75</v>
      </c>
      <c r="E12" s="1">
        <v>44958</v>
      </c>
    </row>
    <row r="13" spans="2:7" x14ac:dyDescent="0.25">
      <c r="B13" t="s">
        <v>9</v>
      </c>
      <c r="C13" t="s">
        <v>42</v>
      </c>
      <c r="D13" t="s">
        <v>33</v>
      </c>
      <c r="E13" s="1">
        <v>44958</v>
      </c>
    </row>
    <row r="14" spans="2:7" x14ac:dyDescent="0.25">
      <c r="B14" t="s">
        <v>13</v>
      </c>
      <c r="C14" t="s">
        <v>21</v>
      </c>
      <c r="D14" t="s">
        <v>75</v>
      </c>
      <c r="E14" s="1">
        <v>45383</v>
      </c>
    </row>
    <row r="15" spans="2:7" x14ac:dyDescent="0.25">
      <c r="B15" t="s">
        <v>4</v>
      </c>
      <c r="C15" t="s">
        <v>34</v>
      </c>
      <c r="D15" t="s">
        <v>74</v>
      </c>
      <c r="E15" s="1">
        <v>45536</v>
      </c>
    </row>
    <row r="16" spans="2:7" x14ac:dyDescent="0.25">
      <c r="B16" t="s">
        <v>6</v>
      </c>
      <c r="C16" t="s">
        <v>68</v>
      </c>
      <c r="D16" t="s">
        <v>33</v>
      </c>
      <c r="E16" s="1">
        <v>45505</v>
      </c>
    </row>
    <row r="17" spans="2:5" x14ac:dyDescent="0.25">
      <c r="B17" t="s">
        <v>54</v>
      </c>
      <c r="C17" t="s">
        <v>71</v>
      </c>
      <c r="D17" t="s">
        <v>75</v>
      </c>
      <c r="E17" s="1">
        <v>45717</v>
      </c>
    </row>
    <row r="18" spans="2:5" x14ac:dyDescent="0.25">
      <c r="B18" t="s">
        <v>55</v>
      </c>
      <c r="C18" t="s">
        <v>59</v>
      </c>
      <c r="D18" t="s">
        <v>74</v>
      </c>
      <c r="E18" s="1">
        <v>44986</v>
      </c>
    </row>
    <row r="19" spans="2:5" x14ac:dyDescent="0.25">
      <c r="B19" t="s">
        <v>7</v>
      </c>
      <c r="C19" t="s">
        <v>47</v>
      </c>
      <c r="D19" t="s">
        <v>33</v>
      </c>
      <c r="E19" s="1">
        <v>44958</v>
      </c>
    </row>
    <row r="20" spans="2:5" x14ac:dyDescent="0.25">
      <c r="B20" t="s">
        <v>8</v>
      </c>
      <c r="C20" t="s">
        <v>32</v>
      </c>
      <c r="D20" t="s">
        <v>33</v>
      </c>
      <c r="E20" s="1">
        <v>45383</v>
      </c>
    </row>
    <row r="21" spans="2:5" x14ac:dyDescent="0.25">
      <c r="B21" t="s">
        <v>3</v>
      </c>
      <c r="C21" t="s">
        <v>27</v>
      </c>
      <c r="D21" t="s">
        <v>74</v>
      </c>
      <c r="E21" s="1">
        <v>44958</v>
      </c>
    </row>
    <row r="22" spans="2:5" x14ac:dyDescent="0.25">
      <c r="B22" t="s">
        <v>60</v>
      </c>
      <c r="C22" t="s">
        <v>61</v>
      </c>
      <c r="D22" t="s">
        <v>75</v>
      </c>
      <c r="E22" s="1">
        <v>45748</v>
      </c>
    </row>
    <row r="23" spans="2:5" x14ac:dyDescent="0.25">
      <c r="B23" t="s">
        <v>62</v>
      </c>
      <c r="C23" t="s">
        <v>63</v>
      </c>
      <c r="D23" t="s">
        <v>75</v>
      </c>
      <c r="E23" s="1">
        <v>45778</v>
      </c>
    </row>
    <row r="24" spans="2:5" x14ac:dyDescent="0.25">
      <c r="B24" t="s">
        <v>2</v>
      </c>
      <c r="C24" t="s">
        <v>25</v>
      </c>
      <c r="D24" t="s">
        <v>75</v>
      </c>
      <c r="E24" s="1">
        <v>45809</v>
      </c>
    </row>
    <row r="25" spans="2:5" x14ac:dyDescent="0.25">
      <c r="B25" t="s">
        <v>64</v>
      </c>
      <c r="C25" t="s">
        <v>65</v>
      </c>
      <c r="D25" t="s">
        <v>33</v>
      </c>
      <c r="E25" s="1">
        <v>45748</v>
      </c>
    </row>
    <row r="26" spans="2:5" x14ac:dyDescent="0.25">
      <c r="B26" t="s">
        <v>48</v>
      </c>
      <c r="C26" t="s">
        <v>49</v>
      </c>
      <c r="D26" t="s">
        <v>33</v>
      </c>
      <c r="E26" s="1">
        <v>45383</v>
      </c>
    </row>
    <row r="27" spans="2:5" x14ac:dyDescent="0.25">
      <c r="B27" t="s">
        <v>17</v>
      </c>
      <c r="C27" t="s">
        <v>24</v>
      </c>
      <c r="D27" t="s">
        <v>74</v>
      </c>
      <c r="E27" s="1">
        <v>45383</v>
      </c>
    </row>
    <row r="28" spans="2:5" x14ac:dyDescent="0.25">
      <c r="B28" t="s">
        <v>18</v>
      </c>
      <c r="C28" t="s">
        <v>35</v>
      </c>
      <c r="D28" t="s">
        <v>74</v>
      </c>
      <c r="E28" s="1">
        <v>45809</v>
      </c>
    </row>
    <row r="29" spans="2:5" x14ac:dyDescent="0.25">
      <c r="B29" t="s">
        <v>56</v>
      </c>
      <c r="C29" t="s">
        <v>57</v>
      </c>
      <c r="D29" t="s">
        <v>74</v>
      </c>
      <c r="E29" s="1">
        <v>45566</v>
      </c>
    </row>
    <row r="30" spans="2:5" x14ac:dyDescent="0.25">
      <c r="B30" t="s">
        <v>39</v>
      </c>
      <c r="C30" t="s">
        <v>38</v>
      </c>
      <c r="D30" t="s">
        <v>74</v>
      </c>
      <c r="E30" s="1">
        <v>45505</v>
      </c>
    </row>
    <row r="31" spans="2:5" x14ac:dyDescent="0.25">
      <c r="B31" t="s">
        <v>16</v>
      </c>
      <c r="C31" t="s">
        <v>37</v>
      </c>
      <c r="D31" t="s">
        <v>74</v>
      </c>
      <c r="E31" s="1">
        <v>45566</v>
      </c>
    </row>
    <row r="32" spans="2:5" x14ac:dyDescent="0.25">
      <c r="B32" t="s">
        <v>12</v>
      </c>
      <c r="C32" t="s">
        <v>69</v>
      </c>
      <c r="D32" t="s">
        <v>75</v>
      </c>
      <c r="E32" s="1">
        <v>44986</v>
      </c>
    </row>
    <row r="33" spans="2:5" x14ac:dyDescent="0.25">
      <c r="B33" t="s">
        <v>15</v>
      </c>
      <c r="C33" t="s">
        <v>26</v>
      </c>
      <c r="D33" t="s">
        <v>74</v>
      </c>
      <c r="E33" s="1">
        <v>45383</v>
      </c>
    </row>
    <row r="34" spans="2:5" x14ac:dyDescent="0.25">
      <c r="B34" t="s">
        <v>14</v>
      </c>
      <c r="C34" t="s">
        <v>70</v>
      </c>
      <c r="D34" t="s">
        <v>74</v>
      </c>
      <c r="E34" s="1">
        <v>45809</v>
      </c>
    </row>
  </sheetData>
  <autoFilter ref="B2:E34" xr:uid="{E82C75A2-60A1-4FF6-93CD-977DC54C7B60}">
    <sortState xmlns:xlrd2="http://schemas.microsoft.com/office/spreadsheetml/2017/richdata2" ref="B3:E34">
      <sortCondition ref="B2:B34"/>
    </sortState>
  </autoFilter>
  <conditionalFormatting sqref="B1:B1048576">
    <cfRule type="duplicateValues" dxfId="6" priority="2"/>
  </conditionalFormatting>
  <conditionalFormatting sqref="C1:C1048576">
    <cfRule type="duplicateValues" dxfId="5" priority="1"/>
  </conditionalFormatting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7A149-1B6E-4CD4-A18F-F1757DB451E1}">
  <dimension ref="B2:K522"/>
  <sheetViews>
    <sheetView zoomScale="115" zoomScaleNormal="115" workbookViewId="0">
      <selection activeCell="I526" sqref="I526"/>
    </sheetView>
  </sheetViews>
  <sheetFormatPr defaultRowHeight="15" x14ac:dyDescent="0.25"/>
  <cols>
    <col min="1" max="1" width="2" customWidth="1"/>
    <col min="2" max="2" width="11.140625" bestFit="1" customWidth="1"/>
    <col min="3" max="3" width="13.5703125" customWidth="1"/>
    <col min="4" max="4" width="18.140625" customWidth="1"/>
    <col min="5" max="5" width="23.28515625" customWidth="1"/>
    <col min="6" max="6" width="16.5703125" customWidth="1"/>
    <col min="7" max="7" width="13.42578125" bestFit="1" customWidth="1"/>
    <col min="8" max="8" width="23.42578125" style="2" bestFit="1" customWidth="1"/>
    <col min="11" max="11" width="16" bestFit="1" customWidth="1"/>
  </cols>
  <sheetData>
    <row r="2" spans="2:9" x14ac:dyDescent="0.25">
      <c r="B2" s="8" t="s">
        <v>0</v>
      </c>
      <c r="C2" s="8" t="s">
        <v>1</v>
      </c>
      <c r="D2" s="8" t="s">
        <v>67</v>
      </c>
      <c r="E2" s="8" t="s">
        <v>79</v>
      </c>
      <c r="F2" s="8" t="s">
        <v>76</v>
      </c>
      <c r="G2" s="8" t="s">
        <v>58</v>
      </c>
      <c r="H2" s="9" t="s">
        <v>84</v>
      </c>
      <c r="I2" s="8" t="s">
        <v>20</v>
      </c>
    </row>
    <row r="3" spans="2:9" hidden="1" x14ac:dyDescent="0.25">
      <c r="B3" s="1">
        <v>45925</v>
      </c>
      <c r="C3">
        <v>20220003926</v>
      </c>
      <c r="D3" t="s">
        <v>85</v>
      </c>
      <c r="E3" t="s">
        <v>80</v>
      </c>
      <c r="F3" t="s">
        <v>77</v>
      </c>
      <c r="G3" t="s">
        <v>5</v>
      </c>
      <c r="H3" s="2">
        <v>100000</v>
      </c>
      <c r="I3" t="str">
        <f>VLOOKUP(G3,'rozdělení obchodníků'!B:D,3, )</f>
        <v>Praha</v>
      </c>
    </row>
    <row r="4" spans="2:9" hidden="1" x14ac:dyDescent="0.25">
      <c r="B4" s="1">
        <v>45925</v>
      </c>
      <c r="C4">
        <v>20220003929</v>
      </c>
      <c r="D4" t="s">
        <v>85</v>
      </c>
      <c r="E4" t="s">
        <v>80</v>
      </c>
      <c r="F4" t="s">
        <v>77</v>
      </c>
      <c r="G4" t="s">
        <v>8</v>
      </c>
      <c r="H4" s="2">
        <v>100000</v>
      </c>
      <c r="I4" t="str">
        <f>VLOOKUP(G4,'rozdělení obchodníků'!B:D,3, )</f>
        <v>Praha</v>
      </c>
    </row>
    <row r="5" spans="2:9" hidden="1" x14ac:dyDescent="0.25">
      <c r="B5" s="1">
        <v>45925</v>
      </c>
      <c r="C5">
        <v>20220003932</v>
      </c>
      <c r="D5" t="s">
        <v>85</v>
      </c>
      <c r="E5" t="s">
        <v>80</v>
      </c>
      <c r="F5" t="s">
        <v>77</v>
      </c>
      <c r="G5" t="s">
        <v>8</v>
      </c>
      <c r="H5" s="2">
        <v>1500000</v>
      </c>
      <c r="I5" t="str">
        <f>VLOOKUP(G5,'rozdělení obchodníků'!B:D,3, )</f>
        <v>Praha</v>
      </c>
    </row>
    <row r="6" spans="2:9" hidden="1" x14ac:dyDescent="0.25">
      <c r="B6" s="1">
        <v>45925</v>
      </c>
      <c r="C6">
        <v>20220003935</v>
      </c>
      <c r="D6" t="s">
        <v>85</v>
      </c>
      <c r="E6" t="s">
        <v>80</v>
      </c>
      <c r="F6" t="s">
        <v>77</v>
      </c>
      <c r="G6" t="s">
        <v>8</v>
      </c>
      <c r="H6" s="2">
        <v>1500000</v>
      </c>
      <c r="I6" t="str">
        <f>VLOOKUP(G6,'rozdělení obchodníků'!B:D,3, )</f>
        <v>Praha</v>
      </c>
    </row>
    <row r="7" spans="2:9" hidden="1" x14ac:dyDescent="0.25">
      <c r="B7" s="1">
        <v>45928</v>
      </c>
      <c r="C7">
        <v>20220003938</v>
      </c>
      <c r="D7" t="s">
        <v>85</v>
      </c>
      <c r="E7" t="s">
        <v>80</v>
      </c>
      <c r="F7" t="s">
        <v>77</v>
      </c>
      <c r="G7" t="s">
        <v>8</v>
      </c>
      <c r="H7" s="2">
        <v>500000</v>
      </c>
      <c r="I7" t="str">
        <f>VLOOKUP(G7,'rozdělení obchodníků'!B:D,3, )</f>
        <v>Praha</v>
      </c>
    </row>
    <row r="8" spans="2:9" hidden="1" x14ac:dyDescent="0.25">
      <c r="B8" s="1">
        <v>45928</v>
      </c>
      <c r="C8">
        <v>20220003941</v>
      </c>
      <c r="D8" t="s">
        <v>85</v>
      </c>
      <c r="E8" t="s">
        <v>80</v>
      </c>
      <c r="F8" t="s">
        <v>77</v>
      </c>
      <c r="G8" t="s">
        <v>50</v>
      </c>
      <c r="H8" s="2">
        <v>500000</v>
      </c>
      <c r="I8" t="str">
        <f>VLOOKUP(G8,'rozdělení obchodníků'!B:D,3, )</f>
        <v>Praha</v>
      </c>
    </row>
    <row r="9" spans="2:9" hidden="1" x14ac:dyDescent="0.25">
      <c r="B9" s="1">
        <v>45928</v>
      </c>
      <c r="C9">
        <v>20220003944</v>
      </c>
      <c r="D9" t="s">
        <v>85</v>
      </c>
      <c r="E9" t="s">
        <v>80</v>
      </c>
      <c r="F9" t="s">
        <v>77</v>
      </c>
      <c r="G9" t="s">
        <v>50</v>
      </c>
      <c r="H9" s="2">
        <v>1000000</v>
      </c>
      <c r="I9" t="str">
        <f>VLOOKUP(G9,'rozdělení obchodníků'!B:D,3, )</f>
        <v>Praha</v>
      </c>
    </row>
    <row r="10" spans="2:9" hidden="1" x14ac:dyDescent="0.25">
      <c r="B10" s="1">
        <v>45928</v>
      </c>
      <c r="C10">
        <v>20220003947</v>
      </c>
      <c r="D10" t="s">
        <v>85</v>
      </c>
      <c r="E10" t="s">
        <v>81</v>
      </c>
      <c r="F10" t="s">
        <v>77</v>
      </c>
      <c r="G10" t="s">
        <v>9</v>
      </c>
      <c r="H10" s="2">
        <v>100000</v>
      </c>
      <c r="I10" t="str">
        <f>VLOOKUP(G10,'rozdělení obchodníků'!B:D,3, )</f>
        <v>Praha</v>
      </c>
    </row>
    <row r="11" spans="2:9" hidden="1" x14ac:dyDescent="0.25">
      <c r="B11" s="1">
        <v>45929</v>
      </c>
      <c r="C11">
        <v>20220003950</v>
      </c>
      <c r="D11" t="s">
        <v>85</v>
      </c>
      <c r="E11" t="s">
        <v>81</v>
      </c>
      <c r="F11" t="s">
        <v>77</v>
      </c>
      <c r="G11" t="s">
        <v>10</v>
      </c>
      <c r="H11" s="2">
        <v>1000000</v>
      </c>
      <c r="I11" t="str">
        <f>VLOOKUP(G11,'rozdělení obchodníků'!B:D,3, )</f>
        <v>Čechy</v>
      </c>
    </row>
    <row r="12" spans="2:9" hidden="1" x14ac:dyDescent="0.25">
      <c r="B12" s="1">
        <v>45930</v>
      </c>
      <c r="C12">
        <v>20220012561</v>
      </c>
      <c r="D12" t="s">
        <v>85</v>
      </c>
      <c r="E12" t="s">
        <v>80</v>
      </c>
      <c r="F12" t="s">
        <v>77</v>
      </c>
      <c r="G12" t="s">
        <v>54</v>
      </c>
      <c r="H12" s="2">
        <v>250000</v>
      </c>
      <c r="I12" t="str">
        <f>VLOOKUP(G12,'rozdělení obchodníků'!B:D,3, )</f>
        <v>Čechy</v>
      </c>
    </row>
    <row r="13" spans="2:9" hidden="1" x14ac:dyDescent="0.25">
      <c r="B13" s="1">
        <v>45930</v>
      </c>
      <c r="C13">
        <v>20220012563</v>
      </c>
      <c r="D13" t="s">
        <v>85</v>
      </c>
      <c r="E13" t="s">
        <v>82</v>
      </c>
      <c r="F13" t="s">
        <v>77</v>
      </c>
      <c r="G13" t="s">
        <v>54</v>
      </c>
      <c r="H13" s="2">
        <v>1500000</v>
      </c>
      <c r="I13" t="str">
        <f>VLOOKUP(G13,'rozdělení obchodníků'!B:D,3, )</f>
        <v>Čechy</v>
      </c>
    </row>
    <row r="14" spans="2:9" hidden="1" x14ac:dyDescent="0.25">
      <c r="B14" s="1">
        <v>45930</v>
      </c>
      <c r="C14">
        <v>20220012565</v>
      </c>
      <c r="D14" t="s">
        <v>85</v>
      </c>
      <c r="E14" t="s">
        <v>81</v>
      </c>
      <c r="F14" t="s">
        <v>77</v>
      </c>
      <c r="G14" t="s">
        <v>54</v>
      </c>
      <c r="H14" s="2">
        <v>450000</v>
      </c>
      <c r="I14" t="str">
        <f>VLOOKUP(G14,'rozdělení obchodníků'!B:D,3, )</f>
        <v>Čechy</v>
      </c>
    </row>
    <row r="15" spans="2:9" hidden="1" x14ac:dyDescent="0.25">
      <c r="B15" s="1">
        <v>45930</v>
      </c>
      <c r="C15">
        <v>20220012566</v>
      </c>
      <c r="D15" t="s">
        <v>85</v>
      </c>
      <c r="E15" t="s">
        <v>81</v>
      </c>
      <c r="F15" t="s">
        <v>77</v>
      </c>
      <c r="G15" t="s">
        <v>56</v>
      </c>
      <c r="H15" s="2">
        <v>1000000</v>
      </c>
      <c r="I15" t="str">
        <f>VLOOKUP(G15,'rozdělení obchodníků'!B:D,3, )</f>
        <v>Morava</v>
      </c>
    </row>
    <row r="16" spans="2:9" x14ac:dyDescent="0.25">
      <c r="B16" s="1">
        <v>45932</v>
      </c>
      <c r="C16">
        <v>20220012702</v>
      </c>
      <c r="D16" t="s">
        <v>85</v>
      </c>
      <c r="E16" t="s">
        <v>81</v>
      </c>
      <c r="F16" t="s">
        <v>77</v>
      </c>
      <c r="G16" t="s">
        <v>44</v>
      </c>
      <c r="H16" s="2">
        <v>750000</v>
      </c>
      <c r="I16" t="str">
        <f>VLOOKUP(G16,'rozdělení obchodníků'!B:D,3, )</f>
        <v>Praha</v>
      </c>
    </row>
    <row r="17" spans="2:11" x14ac:dyDescent="0.25">
      <c r="B17" s="1">
        <v>45934</v>
      </c>
      <c r="C17">
        <v>20220012765</v>
      </c>
      <c r="D17" t="s">
        <v>85</v>
      </c>
      <c r="E17" t="s">
        <v>82</v>
      </c>
      <c r="F17" t="s">
        <v>77</v>
      </c>
      <c r="G17" t="s">
        <v>44</v>
      </c>
      <c r="H17" s="2">
        <v>100000</v>
      </c>
      <c r="I17" t="str">
        <f>VLOOKUP(G17,'rozdělení obchodníků'!B:D,3, )</f>
        <v>Praha</v>
      </c>
      <c r="K17" s="3"/>
    </row>
    <row r="18" spans="2:11" x14ac:dyDescent="0.25">
      <c r="B18" s="1">
        <v>45934</v>
      </c>
      <c r="C18">
        <v>20220012792</v>
      </c>
      <c r="D18" t="s">
        <v>85</v>
      </c>
      <c r="E18" t="s">
        <v>82</v>
      </c>
      <c r="F18" t="s">
        <v>77</v>
      </c>
      <c r="G18" t="s">
        <v>44</v>
      </c>
      <c r="H18" s="2">
        <v>1000000</v>
      </c>
      <c r="I18" t="str">
        <f>VLOOKUP(G18,'rozdělení obchodníků'!B:D,3, )</f>
        <v>Praha</v>
      </c>
    </row>
    <row r="19" spans="2:11" x14ac:dyDescent="0.25">
      <c r="B19" s="1">
        <v>45934</v>
      </c>
      <c r="C19">
        <v>20220012825</v>
      </c>
      <c r="D19" t="s">
        <v>85</v>
      </c>
      <c r="E19" t="s">
        <v>82</v>
      </c>
      <c r="F19" t="s">
        <v>77</v>
      </c>
      <c r="G19" t="s">
        <v>44</v>
      </c>
      <c r="H19" s="2">
        <v>1000000</v>
      </c>
      <c r="I19" t="str">
        <f>VLOOKUP(G19,'rozdělení obchodníků'!B:D,3, )</f>
        <v>Praha</v>
      </c>
    </row>
    <row r="20" spans="2:11" x14ac:dyDescent="0.25">
      <c r="B20" s="1">
        <v>45936</v>
      </c>
      <c r="C20">
        <v>20220013047</v>
      </c>
      <c r="D20" t="s">
        <v>85</v>
      </c>
      <c r="E20" t="s">
        <v>81</v>
      </c>
      <c r="F20" t="s">
        <v>77</v>
      </c>
      <c r="G20" t="s">
        <v>44</v>
      </c>
      <c r="H20" s="2">
        <v>500000</v>
      </c>
      <c r="I20" t="str">
        <f>VLOOKUP(G20,'rozdělení obchodníků'!B:D,3, )</f>
        <v>Praha</v>
      </c>
    </row>
    <row r="21" spans="2:11" x14ac:dyDescent="0.25">
      <c r="B21" s="1">
        <v>45936</v>
      </c>
      <c r="C21">
        <v>20220013050</v>
      </c>
      <c r="D21" t="s">
        <v>85</v>
      </c>
      <c r="E21" t="s">
        <v>81</v>
      </c>
      <c r="F21" t="s">
        <v>77</v>
      </c>
      <c r="G21" t="s">
        <v>44</v>
      </c>
      <c r="H21" s="2">
        <v>500000</v>
      </c>
      <c r="I21" t="str">
        <f>VLOOKUP(G21,'rozdělení obchodníků'!B:D,3, )</f>
        <v>Praha</v>
      </c>
    </row>
    <row r="22" spans="2:11" x14ac:dyDescent="0.25">
      <c r="B22" s="1">
        <v>45938</v>
      </c>
      <c r="C22">
        <v>20220013134</v>
      </c>
      <c r="D22" t="s">
        <v>85</v>
      </c>
      <c r="E22" t="s">
        <v>82</v>
      </c>
      <c r="F22" t="s">
        <v>77</v>
      </c>
      <c r="G22" t="s">
        <v>44</v>
      </c>
      <c r="H22" s="2">
        <v>100000</v>
      </c>
      <c r="I22" t="str">
        <f>VLOOKUP(G22,'rozdělení obchodníků'!B:D,3, )</f>
        <v>Praha</v>
      </c>
    </row>
    <row r="23" spans="2:11" x14ac:dyDescent="0.25">
      <c r="B23" s="1">
        <v>45938</v>
      </c>
      <c r="C23">
        <v>20220013170</v>
      </c>
      <c r="D23" t="s">
        <v>85</v>
      </c>
      <c r="E23" t="s">
        <v>82</v>
      </c>
      <c r="F23" t="s">
        <v>77</v>
      </c>
      <c r="G23" t="s">
        <v>44</v>
      </c>
      <c r="H23" s="2">
        <v>100000</v>
      </c>
      <c r="I23" t="str">
        <f>VLOOKUP(G23,'rozdělení obchodníků'!B:D,3, )</f>
        <v>Praha</v>
      </c>
    </row>
    <row r="24" spans="2:11" x14ac:dyDescent="0.25">
      <c r="B24" s="1">
        <v>45938</v>
      </c>
      <c r="C24">
        <v>20220013314</v>
      </c>
      <c r="D24" t="s">
        <v>85</v>
      </c>
      <c r="E24" t="s">
        <v>80</v>
      </c>
      <c r="F24" t="s">
        <v>77</v>
      </c>
      <c r="G24" t="s">
        <v>44</v>
      </c>
      <c r="H24" s="2">
        <v>750000</v>
      </c>
      <c r="I24" t="str">
        <f>VLOOKUP(G24,'rozdělení obchodníků'!B:D,3, )</f>
        <v>Praha</v>
      </c>
    </row>
    <row r="25" spans="2:11" x14ac:dyDescent="0.25">
      <c r="B25" s="1">
        <v>45940</v>
      </c>
      <c r="C25">
        <v>20220013392</v>
      </c>
      <c r="D25" t="s">
        <v>85</v>
      </c>
      <c r="E25" t="s">
        <v>81</v>
      </c>
      <c r="F25" t="s">
        <v>77</v>
      </c>
      <c r="G25" t="s">
        <v>44</v>
      </c>
      <c r="H25" s="2">
        <v>750000</v>
      </c>
      <c r="I25" t="str">
        <f>VLOOKUP(G25,'rozdělení obchodníků'!B:D,3, )</f>
        <v>Praha</v>
      </c>
    </row>
    <row r="26" spans="2:11" x14ac:dyDescent="0.25">
      <c r="B26" s="1">
        <v>45942</v>
      </c>
      <c r="C26">
        <v>20220013419</v>
      </c>
      <c r="D26" t="s">
        <v>85</v>
      </c>
      <c r="E26" t="s">
        <v>80</v>
      </c>
      <c r="F26" t="s">
        <v>77</v>
      </c>
      <c r="G26" t="s">
        <v>44</v>
      </c>
      <c r="H26" s="2">
        <v>500000</v>
      </c>
      <c r="I26" t="str">
        <f>VLOOKUP(G26,'rozdělení obchodníků'!B:D,3, )</f>
        <v>Praha</v>
      </c>
    </row>
    <row r="27" spans="2:11" x14ac:dyDescent="0.25">
      <c r="B27" s="1">
        <v>45943</v>
      </c>
      <c r="C27">
        <v>20220013449</v>
      </c>
      <c r="D27" t="s">
        <v>85</v>
      </c>
      <c r="E27" t="s">
        <v>81</v>
      </c>
      <c r="F27" t="s">
        <v>77</v>
      </c>
      <c r="G27" t="s">
        <v>44</v>
      </c>
      <c r="H27" s="2">
        <v>750000</v>
      </c>
      <c r="I27" t="str">
        <f>VLOOKUP(G27,'rozdělení obchodníků'!B:D,3, )</f>
        <v>Praha</v>
      </c>
    </row>
    <row r="28" spans="2:11" x14ac:dyDescent="0.25">
      <c r="B28" s="1">
        <v>45943</v>
      </c>
      <c r="C28">
        <v>20220013455</v>
      </c>
      <c r="D28" t="s">
        <v>85</v>
      </c>
      <c r="E28" t="s">
        <v>80</v>
      </c>
      <c r="F28" t="s">
        <v>77</v>
      </c>
      <c r="G28" t="s">
        <v>44</v>
      </c>
      <c r="H28" s="2">
        <v>100000</v>
      </c>
      <c r="I28" t="str">
        <f>VLOOKUP(G28,'rozdělení obchodníků'!B:D,3, )</f>
        <v>Praha</v>
      </c>
    </row>
    <row r="29" spans="2:11" x14ac:dyDescent="0.25">
      <c r="B29" s="1">
        <v>45944</v>
      </c>
      <c r="C29">
        <v>20220013494</v>
      </c>
      <c r="D29" t="s">
        <v>85</v>
      </c>
      <c r="E29" t="s">
        <v>80</v>
      </c>
      <c r="F29" t="s">
        <v>77</v>
      </c>
      <c r="G29" t="s">
        <v>44</v>
      </c>
      <c r="H29" s="2">
        <v>750000</v>
      </c>
      <c r="I29" t="str">
        <f>VLOOKUP(G29,'rozdělení obchodníků'!B:D,3, )</f>
        <v>Praha</v>
      </c>
    </row>
    <row r="30" spans="2:11" x14ac:dyDescent="0.25">
      <c r="B30" s="1">
        <v>45944</v>
      </c>
      <c r="C30">
        <v>20220013503</v>
      </c>
      <c r="D30" t="s">
        <v>85</v>
      </c>
      <c r="E30" t="s">
        <v>80</v>
      </c>
      <c r="F30" t="s">
        <v>77</v>
      </c>
      <c r="G30" t="s">
        <v>44</v>
      </c>
      <c r="H30" s="2">
        <v>750000</v>
      </c>
      <c r="I30" t="str">
        <f>VLOOKUP(G30,'rozdělení obchodníků'!B:D,3, )</f>
        <v>Praha</v>
      </c>
    </row>
    <row r="31" spans="2:11" x14ac:dyDescent="0.25">
      <c r="B31" s="1">
        <v>45946</v>
      </c>
      <c r="C31">
        <v>20220013554</v>
      </c>
      <c r="D31" t="s">
        <v>85</v>
      </c>
      <c r="E31" t="s">
        <v>81</v>
      </c>
      <c r="F31" t="s">
        <v>77</v>
      </c>
      <c r="G31" t="s">
        <v>44</v>
      </c>
      <c r="H31" s="2">
        <v>500000</v>
      </c>
      <c r="I31" t="str">
        <f>VLOOKUP(G31,'rozdělení obchodníků'!B:D,3, )</f>
        <v>Praha</v>
      </c>
    </row>
    <row r="32" spans="2:11" x14ac:dyDescent="0.25">
      <c r="B32" s="1">
        <v>45951</v>
      </c>
      <c r="C32">
        <v>20220013728</v>
      </c>
      <c r="D32" t="s">
        <v>85</v>
      </c>
      <c r="E32" t="s">
        <v>81</v>
      </c>
      <c r="F32" t="s">
        <v>77</v>
      </c>
      <c r="G32" t="s">
        <v>44</v>
      </c>
      <c r="H32" s="2">
        <v>100000</v>
      </c>
      <c r="I32" t="str">
        <f>VLOOKUP(G32,'rozdělení obchodníků'!B:D,3, )</f>
        <v>Praha</v>
      </c>
    </row>
    <row r="33" spans="2:9" x14ac:dyDescent="0.25">
      <c r="B33" s="1">
        <v>45952</v>
      </c>
      <c r="C33">
        <v>20220013770</v>
      </c>
      <c r="D33" t="s">
        <v>85</v>
      </c>
      <c r="E33" t="s">
        <v>80</v>
      </c>
      <c r="F33" t="s">
        <v>77</v>
      </c>
      <c r="G33" t="s">
        <v>44</v>
      </c>
      <c r="H33" s="2">
        <v>1250000</v>
      </c>
      <c r="I33" t="str">
        <f>VLOOKUP(G33,'rozdělení obchodníků'!B:D,3, )</f>
        <v>Praha</v>
      </c>
    </row>
    <row r="34" spans="2:9" x14ac:dyDescent="0.25">
      <c r="B34" s="1">
        <v>45952</v>
      </c>
      <c r="C34">
        <v>20220013809</v>
      </c>
      <c r="D34" t="s">
        <v>85</v>
      </c>
      <c r="E34" t="s">
        <v>80</v>
      </c>
      <c r="F34" t="s">
        <v>77</v>
      </c>
      <c r="G34" t="s">
        <v>44</v>
      </c>
      <c r="H34" s="2">
        <v>500000</v>
      </c>
      <c r="I34" t="str">
        <f>VLOOKUP(G34,'rozdělení obchodníků'!B:D,3, )</f>
        <v>Praha</v>
      </c>
    </row>
    <row r="35" spans="2:9" x14ac:dyDescent="0.25">
      <c r="B35" s="1">
        <v>45960</v>
      </c>
      <c r="C35">
        <v>20220014040</v>
      </c>
      <c r="D35" t="s">
        <v>85</v>
      </c>
      <c r="E35" t="s">
        <v>80</v>
      </c>
      <c r="F35" t="s">
        <v>77</v>
      </c>
      <c r="G35" t="s">
        <v>44</v>
      </c>
      <c r="H35" s="2">
        <v>1000000</v>
      </c>
      <c r="I35" t="str">
        <f>VLOOKUP(G35,'rozdělení obchodníků'!B:D,3, )</f>
        <v>Praha</v>
      </c>
    </row>
    <row r="36" spans="2:9" x14ac:dyDescent="0.25">
      <c r="B36" s="1">
        <v>45932</v>
      </c>
      <c r="C36">
        <v>20220012600</v>
      </c>
      <c r="D36" t="s">
        <v>85</v>
      </c>
      <c r="E36" t="s">
        <v>80</v>
      </c>
      <c r="F36" t="s">
        <v>77</v>
      </c>
      <c r="G36" t="s">
        <v>41</v>
      </c>
      <c r="H36" s="2">
        <v>1000000</v>
      </c>
      <c r="I36" t="str">
        <f>VLOOKUP(G36,'rozdělení obchodníků'!B:D,3, )</f>
        <v>Praha</v>
      </c>
    </row>
    <row r="37" spans="2:9" x14ac:dyDescent="0.25">
      <c r="B37" s="1">
        <v>45932</v>
      </c>
      <c r="C37">
        <v>20220012618</v>
      </c>
      <c r="D37" t="s">
        <v>85</v>
      </c>
      <c r="E37" t="s">
        <v>80</v>
      </c>
      <c r="F37" t="s">
        <v>77</v>
      </c>
      <c r="G37" t="s">
        <v>41</v>
      </c>
      <c r="H37" s="2">
        <v>300000</v>
      </c>
      <c r="I37" t="str">
        <f>VLOOKUP(G37,'rozdělení obchodníků'!B:D,3, )</f>
        <v>Praha</v>
      </c>
    </row>
    <row r="38" spans="2:9" hidden="1" x14ac:dyDescent="0.25">
      <c r="B38" s="1">
        <v>45932</v>
      </c>
      <c r="C38">
        <v>20220012636</v>
      </c>
      <c r="D38" t="s">
        <v>85</v>
      </c>
      <c r="E38" t="s">
        <v>80</v>
      </c>
      <c r="F38" t="s">
        <v>83</v>
      </c>
      <c r="G38" t="s">
        <v>16</v>
      </c>
      <c r="H38" s="2">
        <v>600000</v>
      </c>
      <c r="I38" t="str">
        <f>VLOOKUP(G38,'rozdělení obchodníků'!B:D,3, )</f>
        <v>Morava</v>
      </c>
    </row>
    <row r="39" spans="2:9" hidden="1" x14ac:dyDescent="0.25">
      <c r="B39" s="1">
        <v>45932</v>
      </c>
      <c r="C39">
        <v>20220012639</v>
      </c>
      <c r="D39" t="s">
        <v>85</v>
      </c>
      <c r="E39" t="s">
        <v>80</v>
      </c>
      <c r="F39" t="s">
        <v>83</v>
      </c>
      <c r="G39" t="s">
        <v>16</v>
      </c>
      <c r="H39" s="2">
        <v>600000</v>
      </c>
      <c r="I39" t="str">
        <f>VLOOKUP(G39,'rozdělení obchodníků'!B:D,3, )</f>
        <v>Morava</v>
      </c>
    </row>
    <row r="40" spans="2:9" hidden="1" x14ac:dyDescent="0.25">
      <c r="B40" s="1">
        <v>45932</v>
      </c>
      <c r="C40">
        <v>20220012642</v>
      </c>
      <c r="D40" t="s">
        <v>85</v>
      </c>
      <c r="E40" t="s">
        <v>80</v>
      </c>
      <c r="F40" t="s">
        <v>83</v>
      </c>
      <c r="G40" t="s">
        <v>16</v>
      </c>
      <c r="H40" s="2">
        <v>600000</v>
      </c>
      <c r="I40" t="str">
        <f>VLOOKUP(G40,'rozdělení obchodníků'!B:D,3, )</f>
        <v>Morava</v>
      </c>
    </row>
    <row r="41" spans="2:9" x14ac:dyDescent="0.25">
      <c r="B41" s="1">
        <v>45933</v>
      </c>
      <c r="C41">
        <v>20220012705</v>
      </c>
      <c r="D41" t="s">
        <v>85</v>
      </c>
      <c r="E41" t="s">
        <v>81</v>
      </c>
      <c r="F41" t="s">
        <v>77</v>
      </c>
      <c r="G41" t="s">
        <v>41</v>
      </c>
      <c r="H41" s="2">
        <v>250000</v>
      </c>
      <c r="I41" t="str">
        <f>VLOOKUP(G41,'rozdělení obchodníků'!B:D,3, )</f>
        <v>Praha</v>
      </c>
    </row>
    <row r="42" spans="2:9" x14ac:dyDescent="0.25">
      <c r="B42" s="1">
        <v>45933</v>
      </c>
      <c r="C42">
        <v>20220012732</v>
      </c>
      <c r="D42" t="s">
        <v>85</v>
      </c>
      <c r="E42" t="s">
        <v>81</v>
      </c>
      <c r="F42" t="s">
        <v>77</v>
      </c>
      <c r="G42" t="s">
        <v>41</v>
      </c>
      <c r="H42" s="2">
        <v>2000000</v>
      </c>
      <c r="I42" t="str">
        <f>VLOOKUP(G42,'rozdělení obchodníků'!B:D,3, )</f>
        <v>Praha</v>
      </c>
    </row>
    <row r="43" spans="2:9" x14ac:dyDescent="0.25">
      <c r="B43" s="1">
        <v>45934</v>
      </c>
      <c r="C43">
        <v>20220012756</v>
      </c>
      <c r="D43" t="s">
        <v>85</v>
      </c>
      <c r="E43" t="s">
        <v>81</v>
      </c>
      <c r="F43" t="s">
        <v>77</v>
      </c>
      <c r="G43" t="s">
        <v>41</v>
      </c>
      <c r="H43" s="2">
        <v>600000</v>
      </c>
      <c r="I43" t="str">
        <f>VLOOKUP(G43,'rozdělení obchodníků'!B:D,3, )</f>
        <v>Praha</v>
      </c>
    </row>
    <row r="44" spans="2:9" x14ac:dyDescent="0.25">
      <c r="B44" s="1">
        <v>45934</v>
      </c>
      <c r="C44">
        <v>20220012768</v>
      </c>
      <c r="D44" t="s">
        <v>85</v>
      </c>
      <c r="E44" t="s">
        <v>82</v>
      </c>
      <c r="F44" t="s">
        <v>77</v>
      </c>
      <c r="G44" t="s">
        <v>41</v>
      </c>
      <c r="H44" s="2">
        <v>1000000</v>
      </c>
      <c r="I44" t="str">
        <f>VLOOKUP(G44,'rozdělení obchodníků'!B:D,3, )</f>
        <v>Praha</v>
      </c>
    </row>
    <row r="45" spans="2:9" x14ac:dyDescent="0.25">
      <c r="B45" s="1">
        <v>45934</v>
      </c>
      <c r="C45">
        <v>20220012789</v>
      </c>
      <c r="D45" t="s">
        <v>85</v>
      </c>
      <c r="E45" t="s">
        <v>82</v>
      </c>
      <c r="F45" t="s">
        <v>77</v>
      </c>
      <c r="G45" t="s">
        <v>41</v>
      </c>
      <c r="H45" s="2">
        <v>100000</v>
      </c>
      <c r="I45" t="str">
        <f>VLOOKUP(G45,'rozdělení obchodníků'!B:D,3, )</f>
        <v>Praha</v>
      </c>
    </row>
    <row r="46" spans="2:9" x14ac:dyDescent="0.25">
      <c r="B46" s="1">
        <v>45934</v>
      </c>
      <c r="C46">
        <v>20220012801</v>
      </c>
      <c r="D46" t="s">
        <v>85</v>
      </c>
      <c r="E46" t="s">
        <v>82</v>
      </c>
      <c r="F46" t="s">
        <v>77</v>
      </c>
      <c r="G46" t="s">
        <v>41</v>
      </c>
      <c r="H46" s="2">
        <v>100000</v>
      </c>
      <c r="I46" t="str">
        <f>VLOOKUP(G46,'rozdělení obchodníků'!B:D,3, )</f>
        <v>Praha</v>
      </c>
    </row>
    <row r="47" spans="2:9" x14ac:dyDescent="0.25">
      <c r="B47" s="1">
        <v>45938</v>
      </c>
      <c r="C47">
        <v>20220013155</v>
      </c>
      <c r="D47" t="s">
        <v>85</v>
      </c>
      <c r="E47" t="s">
        <v>81</v>
      </c>
      <c r="F47" t="s">
        <v>77</v>
      </c>
      <c r="G47" t="s">
        <v>41</v>
      </c>
      <c r="H47" s="2">
        <v>100000</v>
      </c>
      <c r="I47" t="str">
        <f>VLOOKUP(G47,'rozdělení obchodníků'!B:D,3, )</f>
        <v>Praha</v>
      </c>
    </row>
    <row r="48" spans="2:9" x14ac:dyDescent="0.25">
      <c r="B48" s="1">
        <v>45938</v>
      </c>
      <c r="C48">
        <v>20220013290</v>
      </c>
      <c r="D48" t="s">
        <v>85</v>
      </c>
      <c r="E48" t="s">
        <v>81</v>
      </c>
      <c r="F48" t="s">
        <v>77</v>
      </c>
      <c r="G48" t="s">
        <v>41</v>
      </c>
      <c r="H48" s="2">
        <v>1000000</v>
      </c>
      <c r="I48" t="str">
        <f>VLOOKUP(G48,'rozdělení obchodníků'!B:D,3, )</f>
        <v>Praha</v>
      </c>
    </row>
    <row r="49" spans="2:9" x14ac:dyDescent="0.25">
      <c r="B49" s="1">
        <v>45942</v>
      </c>
      <c r="C49">
        <v>20220013434</v>
      </c>
      <c r="D49" t="s">
        <v>85</v>
      </c>
      <c r="E49" t="s">
        <v>81</v>
      </c>
      <c r="F49" t="s">
        <v>77</v>
      </c>
      <c r="G49" t="s">
        <v>41</v>
      </c>
      <c r="H49" s="2">
        <v>350000</v>
      </c>
      <c r="I49" t="str">
        <f>VLOOKUP(G49,'rozdělení obchodníků'!B:D,3, )</f>
        <v>Praha</v>
      </c>
    </row>
    <row r="50" spans="2:9" x14ac:dyDescent="0.25">
      <c r="B50" s="1">
        <v>45944</v>
      </c>
      <c r="C50">
        <v>20220013470</v>
      </c>
      <c r="D50" t="s">
        <v>85</v>
      </c>
      <c r="E50" t="s">
        <v>81</v>
      </c>
      <c r="F50" t="s">
        <v>77</v>
      </c>
      <c r="G50" t="s">
        <v>41</v>
      </c>
      <c r="H50" s="2">
        <v>1000000</v>
      </c>
      <c r="I50" t="str">
        <f>VLOOKUP(G50,'rozdělení obchodníků'!B:D,3, )</f>
        <v>Praha</v>
      </c>
    </row>
    <row r="51" spans="2:9" x14ac:dyDescent="0.25">
      <c r="B51" s="1">
        <v>45944</v>
      </c>
      <c r="C51">
        <v>20220013509</v>
      </c>
      <c r="D51" t="s">
        <v>85</v>
      </c>
      <c r="E51" t="s">
        <v>80</v>
      </c>
      <c r="F51" t="s">
        <v>77</v>
      </c>
      <c r="G51" t="s">
        <v>41</v>
      </c>
      <c r="H51" s="2">
        <v>750000</v>
      </c>
      <c r="I51" t="str">
        <f>VLOOKUP(G51,'rozdělení obchodníků'!B:D,3, )</f>
        <v>Praha</v>
      </c>
    </row>
    <row r="52" spans="2:9" x14ac:dyDescent="0.25">
      <c r="B52" s="1">
        <v>45934</v>
      </c>
      <c r="C52">
        <v>20220012831</v>
      </c>
      <c r="D52" t="s">
        <v>85</v>
      </c>
      <c r="E52" t="s">
        <v>82</v>
      </c>
      <c r="F52" t="s">
        <v>77</v>
      </c>
      <c r="G52" t="s">
        <v>29</v>
      </c>
      <c r="H52" s="2">
        <v>250000</v>
      </c>
      <c r="I52" t="str">
        <f>VLOOKUP(G52,'rozdělení obchodníků'!B:D,3, )</f>
        <v>Čechy</v>
      </c>
    </row>
    <row r="53" spans="2:9" x14ac:dyDescent="0.25">
      <c r="B53" s="1">
        <v>45934</v>
      </c>
      <c r="C53">
        <v>20220012834</v>
      </c>
      <c r="D53" t="s">
        <v>85</v>
      </c>
      <c r="E53" t="s">
        <v>82</v>
      </c>
      <c r="F53" t="s">
        <v>77</v>
      </c>
      <c r="G53" t="s">
        <v>29</v>
      </c>
      <c r="H53" s="2">
        <v>250000</v>
      </c>
      <c r="I53" t="str">
        <f>VLOOKUP(G53,'rozdělení obchodníků'!B:D,3, )</f>
        <v>Čechy</v>
      </c>
    </row>
    <row r="54" spans="2:9" x14ac:dyDescent="0.25">
      <c r="B54" s="1">
        <v>45938</v>
      </c>
      <c r="C54">
        <v>20220013143</v>
      </c>
      <c r="D54" t="s">
        <v>85</v>
      </c>
      <c r="E54" t="s">
        <v>82</v>
      </c>
      <c r="F54" t="s">
        <v>77</v>
      </c>
      <c r="G54" t="s">
        <v>29</v>
      </c>
      <c r="H54" s="2">
        <v>1000000</v>
      </c>
      <c r="I54" t="str">
        <f>VLOOKUP(G54,'rozdělení obchodníků'!B:D,3, )</f>
        <v>Čechy</v>
      </c>
    </row>
    <row r="55" spans="2:9" x14ac:dyDescent="0.25">
      <c r="B55" s="1">
        <v>45938</v>
      </c>
      <c r="C55">
        <v>20220013158</v>
      </c>
      <c r="D55" t="s">
        <v>85</v>
      </c>
      <c r="E55" t="s">
        <v>81</v>
      </c>
      <c r="F55" t="s">
        <v>77</v>
      </c>
      <c r="G55" t="s">
        <v>29</v>
      </c>
      <c r="H55" s="2">
        <v>100000</v>
      </c>
      <c r="I55" t="str">
        <f>VLOOKUP(G55,'rozdělení obchodníků'!B:D,3, )</f>
        <v>Čechy</v>
      </c>
    </row>
    <row r="56" spans="2:9" x14ac:dyDescent="0.25">
      <c r="B56" s="1">
        <v>45938</v>
      </c>
      <c r="C56">
        <v>20220013173</v>
      </c>
      <c r="D56" t="s">
        <v>85</v>
      </c>
      <c r="E56" t="s">
        <v>82</v>
      </c>
      <c r="F56" t="s">
        <v>77</v>
      </c>
      <c r="G56" t="s">
        <v>29</v>
      </c>
      <c r="H56" s="2">
        <v>100000</v>
      </c>
      <c r="I56" t="str">
        <f>VLOOKUP(G56,'rozdělení obchodníků'!B:D,3, )</f>
        <v>Čechy</v>
      </c>
    </row>
    <row r="57" spans="2:9" x14ac:dyDescent="0.25">
      <c r="B57" s="1">
        <v>45938</v>
      </c>
      <c r="C57">
        <v>20220013188</v>
      </c>
      <c r="D57" t="s">
        <v>85</v>
      </c>
      <c r="E57" t="s">
        <v>80</v>
      </c>
      <c r="F57" t="s">
        <v>77</v>
      </c>
      <c r="G57" t="s">
        <v>29</v>
      </c>
      <c r="H57" s="2">
        <v>100000</v>
      </c>
      <c r="I57" t="str">
        <f>VLOOKUP(G57,'rozdělení obchodníků'!B:D,3, )</f>
        <v>Čechy</v>
      </c>
    </row>
    <row r="58" spans="2:9" x14ac:dyDescent="0.25">
      <c r="B58" s="1">
        <v>45938</v>
      </c>
      <c r="C58">
        <v>20220013203</v>
      </c>
      <c r="D58" t="s">
        <v>85</v>
      </c>
      <c r="E58" t="s">
        <v>82</v>
      </c>
      <c r="F58" t="s">
        <v>77</v>
      </c>
      <c r="G58" t="s">
        <v>29</v>
      </c>
      <c r="H58" s="2">
        <v>1000000</v>
      </c>
      <c r="I58" t="str">
        <f>VLOOKUP(G58,'rozdělení obchodníků'!B:D,3, )</f>
        <v>Čechy</v>
      </c>
    </row>
    <row r="59" spans="2:9" x14ac:dyDescent="0.25">
      <c r="B59" s="1">
        <v>45938</v>
      </c>
      <c r="C59">
        <v>20220013224</v>
      </c>
      <c r="D59" t="s">
        <v>85</v>
      </c>
      <c r="E59" t="s">
        <v>81</v>
      </c>
      <c r="F59" t="s">
        <v>77</v>
      </c>
      <c r="G59" t="s">
        <v>29</v>
      </c>
      <c r="H59" s="2">
        <v>100000</v>
      </c>
      <c r="I59" t="str">
        <f>VLOOKUP(G59,'rozdělení obchodníků'!B:D,3, )</f>
        <v>Čechy</v>
      </c>
    </row>
    <row r="60" spans="2:9" x14ac:dyDescent="0.25">
      <c r="B60" s="1">
        <v>45938</v>
      </c>
      <c r="C60">
        <v>20220013287</v>
      </c>
      <c r="D60" t="s">
        <v>85</v>
      </c>
      <c r="E60" t="s">
        <v>80</v>
      </c>
      <c r="F60" t="s">
        <v>77</v>
      </c>
      <c r="G60" t="s">
        <v>29</v>
      </c>
      <c r="H60" s="2">
        <v>450000</v>
      </c>
      <c r="I60" t="str">
        <f>VLOOKUP(G60,'rozdělení obchodníků'!B:D,3, )</f>
        <v>Čechy</v>
      </c>
    </row>
    <row r="61" spans="2:9" x14ac:dyDescent="0.25">
      <c r="B61" s="1">
        <v>45955</v>
      </c>
      <c r="C61">
        <v>20220013842</v>
      </c>
      <c r="D61" t="s">
        <v>85</v>
      </c>
      <c r="E61" t="s">
        <v>80</v>
      </c>
      <c r="F61" t="s">
        <v>77</v>
      </c>
      <c r="G61" t="s">
        <v>29</v>
      </c>
      <c r="H61" s="2">
        <v>500000</v>
      </c>
      <c r="I61" t="str">
        <f>VLOOKUP(G61,'rozdělení obchodníků'!B:D,3, )</f>
        <v>Čechy</v>
      </c>
    </row>
    <row r="62" spans="2:9" x14ac:dyDescent="0.25">
      <c r="B62" s="1">
        <v>45955</v>
      </c>
      <c r="C62">
        <v>20220013845</v>
      </c>
      <c r="D62" t="s">
        <v>85</v>
      </c>
      <c r="E62" t="s">
        <v>80</v>
      </c>
      <c r="F62" t="s">
        <v>77</v>
      </c>
      <c r="G62" t="s">
        <v>29</v>
      </c>
      <c r="H62" s="2">
        <v>750000</v>
      </c>
      <c r="I62" t="str">
        <f>VLOOKUP(G62,'rozdělení obchodníků'!B:D,3, )</f>
        <v>Čechy</v>
      </c>
    </row>
    <row r="63" spans="2:9" x14ac:dyDescent="0.25">
      <c r="B63" s="1">
        <v>45955</v>
      </c>
      <c r="C63">
        <v>20220013848</v>
      </c>
      <c r="D63" t="s">
        <v>85</v>
      </c>
      <c r="E63" t="s">
        <v>81</v>
      </c>
      <c r="F63" t="s">
        <v>77</v>
      </c>
      <c r="G63" t="s">
        <v>29</v>
      </c>
      <c r="H63" s="2">
        <v>100000</v>
      </c>
      <c r="I63" t="str">
        <f>VLOOKUP(G63,'rozdělení obchodníků'!B:D,3, )</f>
        <v>Čechy</v>
      </c>
    </row>
    <row r="64" spans="2:9" x14ac:dyDescent="0.25">
      <c r="B64" s="1">
        <v>45932</v>
      </c>
      <c r="C64">
        <v>20220012699</v>
      </c>
      <c r="D64" t="s">
        <v>85</v>
      </c>
      <c r="E64" t="s">
        <v>82</v>
      </c>
      <c r="F64" t="s">
        <v>77</v>
      </c>
      <c r="G64" t="s">
        <v>50</v>
      </c>
      <c r="H64" s="2">
        <v>200000</v>
      </c>
      <c r="I64" t="str">
        <f>VLOOKUP(G64,'rozdělení obchodníků'!B:D,3, )</f>
        <v>Praha</v>
      </c>
    </row>
    <row r="65" spans="2:9" x14ac:dyDescent="0.25">
      <c r="B65" s="1">
        <v>45936</v>
      </c>
      <c r="C65">
        <v>20220012951</v>
      </c>
      <c r="D65" t="s">
        <v>85</v>
      </c>
      <c r="E65" t="s">
        <v>82</v>
      </c>
      <c r="F65" t="s">
        <v>77</v>
      </c>
      <c r="G65" t="s">
        <v>50</v>
      </c>
      <c r="H65" s="2">
        <v>1000000</v>
      </c>
      <c r="I65" t="str">
        <f>VLOOKUP(G65,'rozdělení obchodníků'!B:D,3, )</f>
        <v>Praha</v>
      </c>
    </row>
    <row r="66" spans="2:9" x14ac:dyDescent="0.25">
      <c r="B66" s="1">
        <v>45937</v>
      </c>
      <c r="C66">
        <v>20220013125</v>
      </c>
      <c r="D66" t="s">
        <v>85</v>
      </c>
      <c r="E66" t="s">
        <v>81</v>
      </c>
      <c r="F66" t="s">
        <v>77</v>
      </c>
      <c r="G66" t="s">
        <v>50</v>
      </c>
      <c r="H66" s="2">
        <v>300000</v>
      </c>
      <c r="I66" t="str">
        <f>VLOOKUP(G66,'rozdělení obchodníků'!B:D,3, )</f>
        <v>Praha</v>
      </c>
    </row>
    <row r="67" spans="2:9" x14ac:dyDescent="0.25">
      <c r="B67" s="1">
        <v>45938</v>
      </c>
      <c r="C67">
        <v>20220013137</v>
      </c>
      <c r="D67" t="s">
        <v>85</v>
      </c>
      <c r="E67" t="s">
        <v>82</v>
      </c>
      <c r="F67" t="s">
        <v>77</v>
      </c>
      <c r="G67" t="s">
        <v>50</v>
      </c>
      <c r="H67" s="2">
        <v>1000000</v>
      </c>
      <c r="I67" t="str">
        <f>VLOOKUP(G67,'rozdělení obchodníků'!B:D,3, )</f>
        <v>Praha</v>
      </c>
    </row>
    <row r="68" spans="2:9" x14ac:dyDescent="0.25">
      <c r="B68" s="1">
        <v>45938</v>
      </c>
      <c r="C68">
        <v>20220013140</v>
      </c>
      <c r="D68" t="s">
        <v>85</v>
      </c>
      <c r="E68" t="s">
        <v>82</v>
      </c>
      <c r="F68" t="s">
        <v>77</v>
      </c>
      <c r="G68" t="s">
        <v>50</v>
      </c>
      <c r="H68" s="2">
        <v>800000</v>
      </c>
      <c r="I68" t="str">
        <f>VLOOKUP(G68,'rozdělení obchodníků'!B:D,3, )</f>
        <v>Praha</v>
      </c>
    </row>
    <row r="69" spans="2:9" x14ac:dyDescent="0.25">
      <c r="B69" s="1">
        <v>45958</v>
      </c>
      <c r="C69">
        <v>20220013980</v>
      </c>
      <c r="D69" t="s">
        <v>85</v>
      </c>
      <c r="E69" t="s">
        <v>81</v>
      </c>
      <c r="F69" t="s">
        <v>77</v>
      </c>
      <c r="G69" t="s">
        <v>50</v>
      </c>
      <c r="H69" s="2">
        <v>1300000</v>
      </c>
      <c r="I69" t="str">
        <f>VLOOKUP(G69,'rozdělení obchodníků'!B:D,3, )</f>
        <v>Praha</v>
      </c>
    </row>
    <row r="70" spans="2:9" x14ac:dyDescent="0.25">
      <c r="B70" s="1">
        <v>45932</v>
      </c>
      <c r="C70">
        <v>20220012603</v>
      </c>
      <c r="D70" t="s">
        <v>85</v>
      </c>
      <c r="E70" t="s">
        <v>80</v>
      </c>
      <c r="F70" t="s">
        <v>77</v>
      </c>
      <c r="G70" t="s">
        <v>5</v>
      </c>
      <c r="H70" s="2">
        <v>1100000</v>
      </c>
      <c r="I70" t="str">
        <f>VLOOKUP(G70,'rozdělení obchodníků'!B:D,3, )</f>
        <v>Praha</v>
      </c>
    </row>
    <row r="71" spans="2:9" x14ac:dyDescent="0.25">
      <c r="B71" s="1">
        <v>45932</v>
      </c>
      <c r="C71">
        <v>20220012621</v>
      </c>
      <c r="D71" t="s">
        <v>85</v>
      </c>
      <c r="E71" t="s">
        <v>80</v>
      </c>
      <c r="F71" t="s">
        <v>77</v>
      </c>
      <c r="G71" t="s">
        <v>5</v>
      </c>
      <c r="H71" s="2">
        <v>1000000</v>
      </c>
      <c r="I71" t="str">
        <f>VLOOKUP(G71,'rozdělení obchodníků'!B:D,3, )</f>
        <v>Praha</v>
      </c>
    </row>
    <row r="72" spans="2:9" x14ac:dyDescent="0.25">
      <c r="B72" s="1">
        <v>45932</v>
      </c>
      <c r="C72">
        <v>20220012624</v>
      </c>
      <c r="D72" t="s">
        <v>85</v>
      </c>
      <c r="E72" t="s">
        <v>80</v>
      </c>
      <c r="F72" t="s">
        <v>77</v>
      </c>
      <c r="G72" t="s">
        <v>5</v>
      </c>
      <c r="H72" s="2">
        <v>2000000</v>
      </c>
      <c r="I72" t="str">
        <f>VLOOKUP(G72,'rozdělení obchodníků'!B:D,3, )</f>
        <v>Praha</v>
      </c>
    </row>
    <row r="73" spans="2:9" x14ac:dyDescent="0.25">
      <c r="B73" s="1">
        <v>45932</v>
      </c>
      <c r="C73">
        <v>20220012654</v>
      </c>
      <c r="D73" t="s">
        <v>85</v>
      </c>
      <c r="E73" t="s">
        <v>81</v>
      </c>
      <c r="F73" t="s">
        <v>77</v>
      </c>
      <c r="G73" t="s">
        <v>5</v>
      </c>
      <c r="H73" s="2">
        <v>1000000</v>
      </c>
      <c r="I73" t="str">
        <f>VLOOKUP(G73,'rozdělení obchodníků'!B:D,3, )</f>
        <v>Praha</v>
      </c>
    </row>
    <row r="74" spans="2:9" x14ac:dyDescent="0.25">
      <c r="B74" s="1">
        <v>45933</v>
      </c>
      <c r="C74">
        <v>20220012714</v>
      </c>
      <c r="D74" t="s">
        <v>85</v>
      </c>
      <c r="E74" t="s">
        <v>81</v>
      </c>
      <c r="F74" t="s">
        <v>77</v>
      </c>
      <c r="G74" t="s">
        <v>5</v>
      </c>
      <c r="H74" s="2">
        <v>1000000</v>
      </c>
      <c r="I74" t="str">
        <f>VLOOKUP(G74,'rozdělení obchodníků'!B:D,3, )</f>
        <v>Praha</v>
      </c>
    </row>
    <row r="75" spans="2:9" x14ac:dyDescent="0.25">
      <c r="B75" s="1">
        <v>45932</v>
      </c>
      <c r="C75">
        <v>20220012603</v>
      </c>
      <c r="D75" t="s">
        <v>85</v>
      </c>
      <c r="E75" t="s">
        <v>80</v>
      </c>
      <c r="F75" t="s">
        <v>77</v>
      </c>
      <c r="G75" t="s">
        <v>5</v>
      </c>
      <c r="H75" s="2">
        <v>1100000</v>
      </c>
      <c r="I75" t="str">
        <f>VLOOKUP(G75,'rozdělení obchodníků'!B:D,3, )</f>
        <v>Praha</v>
      </c>
    </row>
    <row r="76" spans="2:9" x14ac:dyDescent="0.25">
      <c r="B76" s="1">
        <v>45931</v>
      </c>
      <c r="C76">
        <v>20220012572</v>
      </c>
      <c r="D76" t="s">
        <v>85</v>
      </c>
      <c r="E76" t="s">
        <v>81</v>
      </c>
      <c r="F76" t="s">
        <v>77</v>
      </c>
      <c r="G76" t="s">
        <v>10</v>
      </c>
      <c r="H76" s="2">
        <v>1450000</v>
      </c>
      <c r="I76" t="str">
        <f>VLOOKUP(G76,'rozdělení obchodníků'!B:D,3, )</f>
        <v>Čechy</v>
      </c>
    </row>
    <row r="77" spans="2:9" x14ac:dyDescent="0.25">
      <c r="B77" s="1">
        <v>45931</v>
      </c>
      <c r="C77">
        <v>20220012573</v>
      </c>
      <c r="D77" t="s">
        <v>85</v>
      </c>
      <c r="E77" t="s">
        <v>81</v>
      </c>
      <c r="F77" t="s">
        <v>77</v>
      </c>
      <c r="G77" t="s">
        <v>10</v>
      </c>
      <c r="H77" s="2">
        <v>300000</v>
      </c>
      <c r="I77" t="str">
        <f>VLOOKUP(G77,'rozdělení obchodníků'!B:D,3, )</f>
        <v>Čechy</v>
      </c>
    </row>
    <row r="78" spans="2:9" x14ac:dyDescent="0.25">
      <c r="B78" s="1">
        <v>45933</v>
      </c>
      <c r="C78">
        <v>20220012738</v>
      </c>
      <c r="D78" t="s">
        <v>85</v>
      </c>
      <c r="E78" t="s">
        <v>81</v>
      </c>
      <c r="F78" t="s">
        <v>77</v>
      </c>
      <c r="G78" t="s">
        <v>10</v>
      </c>
      <c r="H78" s="2">
        <v>300000</v>
      </c>
      <c r="I78" t="str">
        <f>VLOOKUP(G78,'rozdělení obchodníků'!B:D,3, )</f>
        <v>Čechy</v>
      </c>
    </row>
    <row r="79" spans="2:9" x14ac:dyDescent="0.25">
      <c r="B79" s="1">
        <v>45936</v>
      </c>
      <c r="C79">
        <v>20220013044</v>
      </c>
      <c r="D79" t="s">
        <v>85</v>
      </c>
      <c r="E79" t="s">
        <v>82</v>
      </c>
      <c r="F79" t="s">
        <v>77</v>
      </c>
      <c r="G79" t="s">
        <v>10</v>
      </c>
      <c r="H79" s="2">
        <v>1000000</v>
      </c>
      <c r="I79" t="str">
        <f>VLOOKUP(G79,'rozdělení obchodníků'!B:D,3, )</f>
        <v>Čechy</v>
      </c>
    </row>
    <row r="80" spans="2:9" x14ac:dyDescent="0.25">
      <c r="B80" s="1">
        <v>45938</v>
      </c>
      <c r="C80">
        <v>20220013131</v>
      </c>
      <c r="D80" t="s">
        <v>85</v>
      </c>
      <c r="E80" t="s">
        <v>82</v>
      </c>
      <c r="F80" t="s">
        <v>77</v>
      </c>
      <c r="G80" t="s">
        <v>10</v>
      </c>
      <c r="H80" s="2">
        <v>1000000</v>
      </c>
      <c r="I80" t="str">
        <f>VLOOKUP(G80,'rozdělení obchodníků'!B:D,3, )</f>
        <v>Čechy</v>
      </c>
    </row>
    <row r="81" spans="2:9" x14ac:dyDescent="0.25">
      <c r="B81" s="1">
        <v>45938</v>
      </c>
      <c r="C81">
        <v>20220013218</v>
      </c>
      <c r="D81" t="s">
        <v>85</v>
      </c>
      <c r="E81" t="s">
        <v>80</v>
      </c>
      <c r="F81" t="s">
        <v>77</v>
      </c>
      <c r="G81" t="s">
        <v>10</v>
      </c>
      <c r="H81" s="2">
        <v>100000</v>
      </c>
      <c r="I81" t="str">
        <f>VLOOKUP(G81,'rozdělení obchodníků'!B:D,3, )</f>
        <v>Čechy</v>
      </c>
    </row>
    <row r="82" spans="2:9" x14ac:dyDescent="0.25">
      <c r="B82" s="1">
        <v>45939</v>
      </c>
      <c r="C82">
        <v>20220013356</v>
      </c>
      <c r="D82" t="s">
        <v>85</v>
      </c>
      <c r="E82" t="s">
        <v>81</v>
      </c>
      <c r="F82" t="s">
        <v>77</v>
      </c>
      <c r="G82" t="s">
        <v>10</v>
      </c>
      <c r="H82" s="2">
        <v>100000</v>
      </c>
      <c r="I82" t="str">
        <f>VLOOKUP(G82,'rozdělení obchodníků'!B:D,3, )</f>
        <v>Čechy</v>
      </c>
    </row>
    <row r="83" spans="2:9" x14ac:dyDescent="0.25">
      <c r="B83" s="1">
        <v>45939</v>
      </c>
      <c r="C83">
        <v>20220013359</v>
      </c>
      <c r="D83" t="s">
        <v>85</v>
      </c>
      <c r="E83" t="s">
        <v>81</v>
      </c>
      <c r="F83" t="s">
        <v>77</v>
      </c>
      <c r="G83" t="s">
        <v>10</v>
      </c>
      <c r="H83" s="2">
        <v>100000</v>
      </c>
      <c r="I83" t="str">
        <f>VLOOKUP(G83,'rozdělení obchodníků'!B:D,3, )</f>
        <v>Čechy</v>
      </c>
    </row>
    <row r="84" spans="2:9" x14ac:dyDescent="0.25">
      <c r="B84" s="1">
        <v>45939</v>
      </c>
      <c r="C84">
        <v>20220013362</v>
      </c>
      <c r="D84" t="s">
        <v>85</v>
      </c>
      <c r="E84" t="s">
        <v>81</v>
      </c>
      <c r="F84" t="s">
        <v>77</v>
      </c>
      <c r="G84" t="s">
        <v>10</v>
      </c>
      <c r="H84" s="2">
        <v>1000000</v>
      </c>
      <c r="I84" t="str">
        <f>VLOOKUP(G84,'rozdělení obchodníků'!B:D,3, )</f>
        <v>Čechy</v>
      </c>
    </row>
    <row r="85" spans="2:9" x14ac:dyDescent="0.25">
      <c r="B85" s="1">
        <v>45932</v>
      </c>
      <c r="C85">
        <v>20220012591</v>
      </c>
      <c r="D85" t="s">
        <v>85</v>
      </c>
      <c r="E85" t="s">
        <v>81</v>
      </c>
      <c r="F85" t="s">
        <v>77</v>
      </c>
      <c r="G85" t="s">
        <v>52</v>
      </c>
      <c r="H85" s="2">
        <v>1500000</v>
      </c>
      <c r="I85" t="str">
        <f>VLOOKUP(G85,'rozdělení obchodníků'!B:D,3, )</f>
        <v>Čechy</v>
      </c>
    </row>
    <row r="86" spans="2:9" x14ac:dyDescent="0.25">
      <c r="B86" s="1">
        <v>45935</v>
      </c>
      <c r="C86">
        <v>20220012945</v>
      </c>
      <c r="D86" t="s">
        <v>85</v>
      </c>
      <c r="E86" t="s">
        <v>82</v>
      </c>
      <c r="F86" t="s">
        <v>77</v>
      </c>
      <c r="G86" t="s">
        <v>52</v>
      </c>
      <c r="H86" s="2">
        <v>100000</v>
      </c>
      <c r="I86" t="str">
        <f>VLOOKUP(G86,'rozdělení obchodníků'!B:D,3, )</f>
        <v>Čechy</v>
      </c>
    </row>
    <row r="87" spans="2:9" x14ac:dyDescent="0.25">
      <c r="B87" s="1">
        <v>45955</v>
      </c>
      <c r="C87">
        <v>20220013857</v>
      </c>
      <c r="D87" t="s">
        <v>85</v>
      </c>
      <c r="E87" t="s">
        <v>81</v>
      </c>
      <c r="F87" t="s">
        <v>77</v>
      </c>
      <c r="G87" t="s">
        <v>52</v>
      </c>
      <c r="H87" s="2">
        <v>100000</v>
      </c>
      <c r="I87" t="str">
        <f>VLOOKUP(G87,'rozdělení obchodníků'!B:D,3, )</f>
        <v>Čechy</v>
      </c>
    </row>
    <row r="88" spans="2:9" x14ac:dyDescent="0.25">
      <c r="B88" s="1">
        <v>45955</v>
      </c>
      <c r="C88">
        <v>20220013860</v>
      </c>
      <c r="D88" t="s">
        <v>85</v>
      </c>
      <c r="E88" t="s">
        <v>81</v>
      </c>
      <c r="F88" t="s">
        <v>77</v>
      </c>
      <c r="G88" t="s">
        <v>52</v>
      </c>
      <c r="H88" s="2">
        <v>1500000</v>
      </c>
      <c r="I88" t="str">
        <f>VLOOKUP(G88,'rozdělení obchodníků'!B:D,3, )</f>
        <v>Čechy</v>
      </c>
    </row>
    <row r="89" spans="2:9" x14ac:dyDescent="0.25">
      <c r="B89" s="1">
        <v>45932</v>
      </c>
      <c r="C89">
        <v>20220012690</v>
      </c>
      <c r="D89" t="s">
        <v>85</v>
      </c>
      <c r="E89" t="s">
        <v>82</v>
      </c>
      <c r="F89" t="s">
        <v>77</v>
      </c>
      <c r="G89" t="s">
        <v>9</v>
      </c>
      <c r="H89" s="2">
        <v>100000</v>
      </c>
      <c r="I89" t="str">
        <f>VLOOKUP(G89,'rozdělení obchodníků'!B:D,3, )</f>
        <v>Praha</v>
      </c>
    </row>
    <row r="90" spans="2:9" x14ac:dyDescent="0.25">
      <c r="B90" s="1">
        <v>45932</v>
      </c>
      <c r="C90">
        <v>20220012693</v>
      </c>
      <c r="D90" t="s">
        <v>85</v>
      </c>
      <c r="E90" t="s">
        <v>82</v>
      </c>
      <c r="F90" t="s">
        <v>77</v>
      </c>
      <c r="G90" t="s">
        <v>9</v>
      </c>
      <c r="H90" s="2">
        <v>100000</v>
      </c>
      <c r="I90" t="str">
        <f>VLOOKUP(G90,'rozdělení obchodníků'!B:D,3, )</f>
        <v>Praha</v>
      </c>
    </row>
    <row r="91" spans="2:9" hidden="1" x14ac:dyDescent="0.25">
      <c r="B91" s="1">
        <v>45934</v>
      </c>
      <c r="C91">
        <v>20220012795</v>
      </c>
      <c r="D91" t="s">
        <v>85</v>
      </c>
      <c r="E91" t="s">
        <v>82</v>
      </c>
      <c r="F91" t="s">
        <v>83</v>
      </c>
      <c r="G91" t="s">
        <v>6</v>
      </c>
      <c r="H91" s="2">
        <v>250000</v>
      </c>
      <c r="I91" t="str">
        <f>VLOOKUP(G91,'rozdělení obchodníků'!B:D,3, )</f>
        <v>Praha</v>
      </c>
    </row>
    <row r="92" spans="2:9" hidden="1" x14ac:dyDescent="0.25">
      <c r="B92" s="1">
        <v>45934</v>
      </c>
      <c r="C92">
        <v>20220012798</v>
      </c>
      <c r="D92" t="s">
        <v>85</v>
      </c>
      <c r="E92" t="s">
        <v>82</v>
      </c>
      <c r="F92" t="s">
        <v>83</v>
      </c>
      <c r="G92" t="s">
        <v>6</v>
      </c>
      <c r="H92" s="2">
        <v>250000</v>
      </c>
      <c r="I92" t="str">
        <f>VLOOKUP(G92,'rozdělení obchodníků'!B:D,3, )</f>
        <v>Praha</v>
      </c>
    </row>
    <row r="93" spans="2:9" x14ac:dyDescent="0.25">
      <c r="B93" s="1">
        <v>45932</v>
      </c>
      <c r="C93">
        <v>20220012696</v>
      </c>
      <c r="D93" t="s">
        <v>85</v>
      </c>
      <c r="E93" t="s">
        <v>82</v>
      </c>
      <c r="F93" t="s">
        <v>77</v>
      </c>
      <c r="G93" t="s">
        <v>9</v>
      </c>
      <c r="H93" s="2">
        <v>1000000</v>
      </c>
      <c r="I93" t="str">
        <f>VLOOKUP(G93,'rozdělení obchodníků'!B:D,3, )</f>
        <v>Praha</v>
      </c>
    </row>
    <row r="94" spans="2:9" x14ac:dyDescent="0.25">
      <c r="B94" s="1">
        <v>45933</v>
      </c>
      <c r="C94">
        <v>20220012735</v>
      </c>
      <c r="D94" t="s">
        <v>85</v>
      </c>
      <c r="E94" t="s">
        <v>81</v>
      </c>
      <c r="F94" t="s">
        <v>77</v>
      </c>
      <c r="G94" t="s">
        <v>9</v>
      </c>
      <c r="H94" s="2">
        <v>100000</v>
      </c>
      <c r="I94" t="str">
        <f>VLOOKUP(G94,'rozdělení obchodníků'!B:D,3, )</f>
        <v>Praha</v>
      </c>
    </row>
    <row r="95" spans="2:9" hidden="1" x14ac:dyDescent="0.25">
      <c r="B95" s="1">
        <v>45934</v>
      </c>
      <c r="C95">
        <v>20220012807</v>
      </c>
      <c r="D95" t="s">
        <v>85</v>
      </c>
      <c r="E95" t="s">
        <v>80</v>
      </c>
      <c r="F95" t="s">
        <v>83</v>
      </c>
      <c r="G95" t="s">
        <v>6</v>
      </c>
      <c r="H95" s="2">
        <v>600000</v>
      </c>
      <c r="I95" t="str">
        <f>VLOOKUP(G95,'rozdělení obchodníků'!B:D,3, )</f>
        <v>Praha</v>
      </c>
    </row>
    <row r="96" spans="2:9" hidden="1" x14ac:dyDescent="0.25">
      <c r="B96" s="1">
        <v>45934</v>
      </c>
      <c r="C96">
        <v>20220012810</v>
      </c>
      <c r="D96" t="s">
        <v>85</v>
      </c>
      <c r="E96" t="s">
        <v>80</v>
      </c>
      <c r="F96" t="s">
        <v>83</v>
      </c>
      <c r="G96" t="s">
        <v>6</v>
      </c>
      <c r="H96" s="2">
        <v>600000</v>
      </c>
      <c r="I96" t="str">
        <f>VLOOKUP(G96,'rozdělení obchodníků'!B:D,3, )</f>
        <v>Praha</v>
      </c>
    </row>
    <row r="97" spans="2:9" x14ac:dyDescent="0.25">
      <c r="B97" s="1">
        <v>45937</v>
      </c>
      <c r="C97">
        <v>20220013128</v>
      </c>
      <c r="D97" t="s">
        <v>85</v>
      </c>
      <c r="E97" t="s">
        <v>81</v>
      </c>
      <c r="F97" t="s">
        <v>77</v>
      </c>
      <c r="G97" t="s">
        <v>9</v>
      </c>
      <c r="H97" s="2">
        <v>500000</v>
      </c>
      <c r="I97" t="str">
        <f>VLOOKUP(G97,'rozdělení obchodníků'!B:D,3, )</f>
        <v>Praha</v>
      </c>
    </row>
    <row r="98" spans="2:9" x14ac:dyDescent="0.25">
      <c r="B98" s="1">
        <v>45938</v>
      </c>
      <c r="C98">
        <v>20220013146</v>
      </c>
      <c r="D98" t="s">
        <v>85</v>
      </c>
      <c r="E98" t="s">
        <v>80</v>
      </c>
      <c r="F98" t="s">
        <v>77</v>
      </c>
      <c r="G98" t="s">
        <v>9</v>
      </c>
      <c r="H98" s="2">
        <v>100000</v>
      </c>
      <c r="I98" t="str">
        <f>VLOOKUP(G98,'rozdělení obchodníků'!B:D,3, )</f>
        <v>Praha</v>
      </c>
    </row>
    <row r="99" spans="2:9" x14ac:dyDescent="0.25">
      <c r="B99" s="1">
        <v>45938</v>
      </c>
      <c r="C99">
        <v>20220013221</v>
      </c>
      <c r="D99" t="s">
        <v>85</v>
      </c>
      <c r="E99" t="s">
        <v>80</v>
      </c>
      <c r="F99" t="s">
        <v>77</v>
      </c>
      <c r="G99" t="s">
        <v>9</v>
      </c>
      <c r="H99" s="2">
        <v>1000000</v>
      </c>
      <c r="I99" t="str">
        <f>VLOOKUP(G99,'rozdělení obchodníků'!B:D,3, )</f>
        <v>Praha</v>
      </c>
    </row>
    <row r="100" spans="2:9" x14ac:dyDescent="0.25">
      <c r="B100" s="1">
        <v>45945</v>
      </c>
      <c r="C100">
        <v>20220013524</v>
      </c>
      <c r="D100" t="s">
        <v>85</v>
      </c>
      <c r="E100" t="s">
        <v>82</v>
      </c>
      <c r="F100" t="s">
        <v>77</v>
      </c>
      <c r="G100" t="s">
        <v>9</v>
      </c>
      <c r="H100" s="2">
        <v>100000</v>
      </c>
      <c r="I100" t="str">
        <f>VLOOKUP(G100,'rozdělení obchodníků'!B:D,3, )</f>
        <v>Praha</v>
      </c>
    </row>
    <row r="101" spans="2:9" x14ac:dyDescent="0.25">
      <c r="B101" s="1">
        <v>45945</v>
      </c>
      <c r="C101">
        <v>20220013527</v>
      </c>
      <c r="D101" t="s">
        <v>85</v>
      </c>
      <c r="E101" t="s">
        <v>82</v>
      </c>
      <c r="F101" t="s">
        <v>77</v>
      </c>
      <c r="G101" t="s">
        <v>9</v>
      </c>
      <c r="H101" s="2">
        <v>750000</v>
      </c>
      <c r="I101" t="str">
        <f>VLOOKUP(G101,'rozdělení obchodníků'!B:D,3, )</f>
        <v>Praha</v>
      </c>
    </row>
    <row r="102" spans="2:9" hidden="1" x14ac:dyDescent="0.25">
      <c r="B102" s="1">
        <v>45934</v>
      </c>
      <c r="C102">
        <v>20220012828</v>
      </c>
      <c r="D102" t="s">
        <v>85</v>
      </c>
      <c r="E102" t="s">
        <v>82</v>
      </c>
      <c r="F102" t="s">
        <v>83</v>
      </c>
      <c r="G102" t="s">
        <v>4</v>
      </c>
      <c r="H102" s="2">
        <v>100000</v>
      </c>
      <c r="I102" t="str">
        <f>VLOOKUP(G102,'rozdělení obchodníků'!B:D,3, )</f>
        <v>Morava</v>
      </c>
    </row>
    <row r="103" spans="2:9" x14ac:dyDescent="0.25">
      <c r="B103" s="1">
        <v>45945</v>
      </c>
      <c r="C103">
        <v>20220013530</v>
      </c>
      <c r="D103" t="s">
        <v>85</v>
      </c>
      <c r="E103" t="s">
        <v>82</v>
      </c>
      <c r="F103" t="s">
        <v>77</v>
      </c>
      <c r="G103" t="s">
        <v>9</v>
      </c>
      <c r="H103" s="2">
        <v>1000000</v>
      </c>
      <c r="I103" t="str">
        <f>VLOOKUP(G103,'rozdělení obchodníků'!B:D,3, )</f>
        <v>Praha</v>
      </c>
    </row>
    <row r="104" spans="2:9" x14ac:dyDescent="0.25">
      <c r="B104" s="1">
        <v>45950</v>
      </c>
      <c r="C104">
        <v>20220013671</v>
      </c>
      <c r="D104" t="s">
        <v>85</v>
      </c>
      <c r="E104" t="s">
        <v>81</v>
      </c>
      <c r="F104" t="s">
        <v>77</v>
      </c>
      <c r="G104" t="s">
        <v>9</v>
      </c>
      <c r="H104" s="2">
        <v>100000</v>
      </c>
      <c r="I104" t="str">
        <f>VLOOKUP(G104,'rozdělení obchodníků'!B:D,3, )</f>
        <v>Praha</v>
      </c>
    </row>
    <row r="105" spans="2:9" x14ac:dyDescent="0.25">
      <c r="B105" s="1">
        <v>45950</v>
      </c>
      <c r="C105">
        <v>20220013674</v>
      </c>
      <c r="D105" t="s">
        <v>85</v>
      </c>
      <c r="E105" t="s">
        <v>81</v>
      </c>
      <c r="F105" t="s">
        <v>77</v>
      </c>
      <c r="G105" t="s">
        <v>9</v>
      </c>
      <c r="H105" s="2">
        <v>100000</v>
      </c>
      <c r="I105" t="str">
        <f>VLOOKUP(G105,'rozdělení obchodníků'!B:D,3, )</f>
        <v>Praha</v>
      </c>
    </row>
    <row r="106" spans="2:9" x14ac:dyDescent="0.25">
      <c r="B106" s="1">
        <v>45950</v>
      </c>
      <c r="C106">
        <v>20220013677</v>
      </c>
      <c r="D106" t="s">
        <v>85</v>
      </c>
      <c r="E106" t="s">
        <v>80</v>
      </c>
      <c r="F106" t="s">
        <v>77</v>
      </c>
      <c r="G106" t="s">
        <v>9</v>
      </c>
      <c r="H106" s="2">
        <v>1500000</v>
      </c>
      <c r="I106" t="str">
        <f>VLOOKUP(G106,'rozdělení obchodníků'!B:D,3, )</f>
        <v>Praha</v>
      </c>
    </row>
    <row r="107" spans="2:9" x14ac:dyDescent="0.25">
      <c r="B107" s="1">
        <v>45950</v>
      </c>
      <c r="C107">
        <v>20220013680</v>
      </c>
      <c r="D107" t="s">
        <v>85</v>
      </c>
      <c r="E107" t="s">
        <v>80</v>
      </c>
      <c r="F107" t="s">
        <v>77</v>
      </c>
      <c r="G107" t="s">
        <v>9</v>
      </c>
      <c r="H107" s="2">
        <v>100000</v>
      </c>
      <c r="I107" t="str">
        <f>VLOOKUP(G107,'rozdělení obchodníků'!B:D,3, )</f>
        <v>Praha</v>
      </c>
    </row>
    <row r="108" spans="2:9" x14ac:dyDescent="0.25">
      <c r="B108" s="1">
        <v>45950</v>
      </c>
      <c r="C108">
        <v>20220013683</v>
      </c>
      <c r="D108" t="s">
        <v>85</v>
      </c>
      <c r="E108" t="s">
        <v>80</v>
      </c>
      <c r="F108" t="s">
        <v>77</v>
      </c>
      <c r="G108" t="s">
        <v>9</v>
      </c>
      <c r="H108" s="2">
        <v>100000</v>
      </c>
      <c r="I108" t="str">
        <f>VLOOKUP(G108,'rozdělení obchodníků'!B:D,3, )</f>
        <v>Praha</v>
      </c>
    </row>
    <row r="109" spans="2:9" x14ac:dyDescent="0.25">
      <c r="B109" s="1">
        <v>45950</v>
      </c>
      <c r="C109">
        <v>20220013692</v>
      </c>
      <c r="D109" t="s">
        <v>85</v>
      </c>
      <c r="E109" t="s">
        <v>81</v>
      </c>
      <c r="F109" t="s">
        <v>77</v>
      </c>
      <c r="G109" t="s">
        <v>9</v>
      </c>
      <c r="H109" s="2">
        <v>100000</v>
      </c>
      <c r="I109" t="str">
        <f>VLOOKUP(G109,'rozdělení obchodníků'!B:D,3, )</f>
        <v>Praha</v>
      </c>
    </row>
    <row r="110" spans="2:9" x14ac:dyDescent="0.25">
      <c r="B110" s="1">
        <v>45950</v>
      </c>
      <c r="C110">
        <v>20220013695</v>
      </c>
      <c r="D110" t="s">
        <v>85</v>
      </c>
      <c r="E110" t="s">
        <v>81</v>
      </c>
      <c r="F110" t="s">
        <v>77</v>
      </c>
      <c r="G110" t="s">
        <v>9</v>
      </c>
      <c r="H110" s="2">
        <v>100000</v>
      </c>
      <c r="I110" t="str">
        <f>VLOOKUP(G110,'rozdělení obchodníků'!B:D,3, )</f>
        <v>Praha</v>
      </c>
    </row>
    <row r="111" spans="2:9" x14ac:dyDescent="0.25">
      <c r="B111" s="1">
        <v>45950</v>
      </c>
      <c r="C111">
        <v>20220013698</v>
      </c>
      <c r="D111" t="s">
        <v>85</v>
      </c>
      <c r="E111" t="s">
        <v>80</v>
      </c>
      <c r="F111" t="s">
        <v>77</v>
      </c>
      <c r="G111" t="s">
        <v>9</v>
      </c>
      <c r="H111" s="2">
        <v>350000</v>
      </c>
      <c r="I111" t="str">
        <f>VLOOKUP(G111,'rozdělení obchodníků'!B:D,3, )</f>
        <v>Praha</v>
      </c>
    </row>
    <row r="112" spans="2:9" x14ac:dyDescent="0.25">
      <c r="B112" s="1">
        <v>45950</v>
      </c>
      <c r="C112">
        <v>20220013701</v>
      </c>
      <c r="D112" t="s">
        <v>85</v>
      </c>
      <c r="E112" t="s">
        <v>80</v>
      </c>
      <c r="F112" t="s">
        <v>77</v>
      </c>
      <c r="G112" t="s">
        <v>9</v>
      </c>
      <c r="H112" s="2">
        <v>750000</v>
      </c>
      <c r="I112" t="str">
        <f>VLOOKUP(G112,'rozdělení obchodníků'!B:D,3, )</f>
        <v>Praha</v>
      </c>
    </row>
    <row r="113" spans="2:9" x14ac:dyDescent="0.25">
      <c r="B113" s="1">
        <v>45956</v>
      </c>
      <c r="C113">
        <v>20220013884</v>
      </c>
      <c r="D113" t="s">
        <v>85</v>
      </c>
      <c r="E113" t="s">
        <v>81</v>
      </c>
      <c r="F113" t="s">
        <v>77</v>
      </c>
      <c r="G113" t="s">
        <v>9</v>
      </c>
      <c r="H113" s="2">
        <v>300000</v>
      </c>
      <c r="I113" t="str">
        <f>VLOOKUP(G113,'rozdělení obchodníků'!B:D,3, )</f>
        <v>Praha</v>
      </c>
    </row>
    <row r="114" spans="2:9" x14ac:dyDescent="0.25">
      <c r="B114" s="1">
        <v>45957</v>
      </c>
      <c r="C114">
        <v>20220013914</v>
      </c>
      <c r="D114" t="s">
        <v>85</v>
      </c>
      <c r="E114" t="s">
        <v>80</v>
      </c>
      <c r="F114" t="s">
        <v>77</v>
      </c>
      <c r="G114" t="s">
        <v>9</v>
      </c>
      <c r="H114" s="2">
        <v>100000</v>
      </c>
      <c r="I114" t="str">
        <f>VLOOKUP(G114,'rozdělení obchodníků'!B:D,3, )</f>
        <v>Praha</v>
      </c>
    </row>
    <row r="115" spans="2:9" hidden="1" x14ac:dyDescent="0.25">
      <c r="B115" s="1">
        <v>45934</v>
      </c>
      <c r="C115">
        <v>20220012867</v>
      </c>
      <c r="D115" t="s">
        <v>85</v>
      </c>
      <c r="E115" t="s">
        <v>81</v>
      </c>
      <c r="F115" t="s">
        <v>83</v>
      </c>
      <c r="G115" t="s">
        <v>18</v>
      </c>
      <c r="H115" s="2">
        <v>1250000</v>
      </c>
      <c r="I115" t="str">
        <f>VLOOKUP(G115,'rozdělení obchodníků'!B:D,3, )</f>
        <v>Morava</v>
      </c>
    </row>
    <row r="116" spans="2:9" hidden="1" x14ac:dyDescent="0.25">
      <c r="B116" s="1">
        <v>45934</v>
      </c>
      <c r="C116">
        <v>20220012870</v>
      </c>
      <c r="D116" t="s">
        <v>85</v>
      </c>
      <c r="E116" t="s">
        <v>81</v>
      </c>
      <c r="F116" t="s">
        <v>83</v>
      </c>
      <c r="G116" t="s">
        <v>18</v>
      </c>
      <c r="H116" s="2">
        <v>250000</v>
      </c>
      <c r="I116" t="str">
        <f>VLOOKUP(G116,'rozdělení obchodníků'!B:D,3, )</f>
        <v>Morava</v>
      </c>
    </row>
    <row r="117" spans="2:9" x14ac:dyDescent="0.25">
      <c r="B117" s="1">
        <v>45958</v>
      </c>
      <c r="C117">
        <v>20220013977</v>
      </c>
      <c r="D117" t="s">
        <v>85</v>
      </c>
      <c r="E117" t="s">
        <v>81</v>
      </c>
      <c r="F117" t="s">
        <v>77</v>
      </c>
      <c r="G117" t="s">
        <v>9</v>
      </c>
      <c r="H117" s="2">
        <v>100000</v>
      </c>
      <c r="I117" t="str">
        <f>VLOOKUP(G117,'rozdělení obchodníků'!B:D,3, )</f>
        <v>Praha</v>
      </c>
    </row>
    <row r="118" spans="2:9" x14ac:dyDescent="0.25">
      <c r="B118" s="1">
        <v>45934</v>
      </c>
      <c r="C118">
        <v>20220012813</v>
      </c>
      <c r="D118" t="s">
        <v>85</v>
      </c>
      <c r="E118" t="s">
        <v>81</v>
      </c>
      <c r="F118" t="s">
        <v>77</v>
      </c>
      <c r="G118" t="s">
        <v>13</v>
      </c>
      <c r="H118" s="2">
        <v>100000</v>
      </c>
      <c r="I118" t="str">
        <f>VLOOKUP(G118,'rozdělení obchodníků'!B:D,3, )</f>
        <v>Čechy</v>
      </c>
    </row>
    <row r="119" spans="2:9" x14ac:dyDescent="0.25">
      <c r="B119" s="1">
        <v>45934</v>
      </c>
      <c r="C119">
        <v>20220012816</v>
      </c>
      <c r="D119" t="s">
        <v>85</v>
      </c>
      <c r="E119" t="s">
        <v>81</v>
      </c>
      <c r="F119" t="s">
        <v>77</v>
      </c>
      <c r="G119" t="s">
        <v>13</v>
      </c>
      <c r="H119" s="2">
        <v>1000000</v>
      </c>
      <c r="I119" t="str">
        <f>VLOOKUP(G119,'rozdělení obchodníků'!B:D,3, )</f>
        <v>Čechy</v>
      </c>
    </row>
    <row r="120" spans="2:9" x14ac:dyDescent="0.25">
      <c r="B120" s="1">
        <v>45934</v>
      </c>
      <c r="C120">
        <v>20220012819</v>
      </c>
      <c r="D120" t="s">
        <v>85</v>
      </c>
      <c r="E120" t="s">
        <v>81</v>
      </c>
      <c r="F120" t="s">
        <v>77</v>
      </c>
      <c r="G120" t="s">
        <v>13</v>
      </c>
      <c r="H120" s="2">
        <v>1000000</v>
      </c>
      <c r="I120" t="str">
        <f>VLOOKUP(G120,'rozdělení obchodníků'!B:D,3, )</f>
        <v>Čechy</v>
      </c>
    </row>
    <row r="121" spans="2:9" x14ac:dyDescent="0.25">
      <c r="B121" s="1">
        <v>45934</v>
      </c>
      <c r="C121">
        <v>20220012822</v>
      </c>
      <c r="D121" t="s">
        <v>85</v>
      </c>
      <c r="E121" t="s">
        <v>81</v>
      </c>
      <c r="F121" t="s">
        <v>77</v>
      </c>
      <c r="G121" t="s">
        <v>13</v>
      </c>
      <c r="H121" s="2">
        <v>1000000</v>
      </c>
      <c r="I121" t="str">
        <f>VLOOKUP(G121,'rozdělení obchodníků'!B:D,3, )</f>
        <v>Čechy</v>
      </c>
    </row>
    <row r="122" spans="2:9" x14ac:dyDescent="0.25">
      <c r="B122" s="1">
        <v>45934</v>
      </c>
      <c r="C122">
        <v>20220012852</v>
      </c>
      <c r="D122" t="s">
        <v>85</v>
      </c>
      <c r="E122" t="s">
        <v>82</v>
      </c>
      <c r="F122" t="s">
        <v>77</v>
      </c>
      <c r="G122" t="s">
        <v>13</v>
      </c>
      <c r="H122" s="2">
        <v>600000</v>
      </c>
      <c r="I122" t="str">
        <f>VLOOKUP(G122,'rozdělení obchodníků'!B:D,3, )</f>
        <v>Čechy</v>
      </c>
    </row>
    <row r="123" spans="2:9" x14ac:dyDescent="0.25">
      <c r="B123" s="1">
        <v>45934</v>
      </c>
      <c r="C123">
        <v>20220012855</v>
      </c>
      <c r="D123" t="s">
        <v>85</v>
      </c>
      <c r="E123" t="s">
        <v>81</v>
      </c>
      <c r="F123" t="s">
        <v>77</v>
      </c>
      <c r="G123" t="s">
        <v>13</v>
      </c>
      <c r="H123" s="2">
        <v>1000000</v>
      </c>
      <c r="I123" t="str">
        <f>VLOOKUP(G123,'rozdělení obchodníků'!B:D,3, )</f>
        <v>Čechy</v>
      </c>
    </row>
    <row r="124" spans="2:9" x14ac:dyDescent="0.25">
      <c r="B124" s="1">
        <v>45934</v>
      </c>
      <c r="C124">
        <v>20220012858</v>
      </c>
      <c r="D124" t="s">
        <v>85</v>
      </c>
      <c r="E124" t="s">
        <v>81</v>
      </c>
      <c r="F124" t="s">
        <v>77</v>
      </c>
      <c r="G124" t="s">
        <v>13</v>
      </c>
      <c r="H124" s="2">
        <v>100000</v>
      </c>
      <c r="I124" t="str">
        <f>VLOOKUP(G124,'rozdělení obchodníků'!B:D,3, )</f>
        <v>Čechy</v>
      </c>
    </row>
    <row r="125" spans="2:9" hidden="1" x14ac:dyDescent="0.25">
      <c r="B125" s="1">
        <v>45934</v>
      </c>
      <c r="C125">
        <v>20220012897</v>
      </c>
      <c r="D125" t="s">
        <v>85</v>
      </c>
      <c r="E125" t="s">
        <v>80</v>
      </c>
      <c r="F125" t="s">
        <v>83</v>
      </c>
      <c r="G125" t="s">
        <v>44</v>
      </c>
      <c r="H125" s="2">
        <v>1000000</v>
      </c>
      <c r="I125" t="str">
        <f>VLOOKUP(G125,'rozdělení obchodníků'!B:D,3, )</f>
        <v>Praha</v>
      </c>
    </row>
    <row r="126" spans="2:9" hidden="1" x14ac:dyDescent="0.25">
      <c r="B126" s="1">
        <v>45934</v>
      </c>
      <c r="C126">
        <v>20220012900</v>
      </c>
      <c r="D126" t="s">
        <v>85</v>
      </c>
      <c r="E126" t="s">
        <v>80</v>
      </c>
      <c r="F126" t="s">
        <v>83</v>
      </c>
      <c r="G126" t="s">
        <v>9</v>
      </c>
      <c r="H126" s="2">
        <v>1000000</v>
      </c>
      <c r="I126" t="str">
        <f>VLOOKUP(G126,'rozdělení obchodníků'!B:D,3, )</f>
        <v>Praha</v>
      </c>
    </row>
    <row r="127" spans="2:9" hidden="1" x14ac:dyDescent="0.25">
      <c r="B127" s="1">
        <v>45934</v>
      </c>
      <c r="C127">
        <v>20220012903</v>
      </c>
      <c r="D127" t="s">
        <v>85</v>
      </c>
      <c r="E127" t="s">
        <v>82</v>
      </c>
      <c r="F127" t="s">
        <v>83</v>
      </c>
      <c r="G127" t="s">
        <v>9</v>
      </c>
      <c r="H127" s="2">
        <v>100000</v>
      </c>
      <c r="I127" t="str">
        <f>VLOOKUP(G127,'rozdělení obchodníků'!B:D,3, )</f>
        <v>Praha</v>
      </c>
    </row>
    <row r="128" spans="2:9" hidden="1" x14ac:dyDescent="0.25">
      <c r="B128" s="1">
        <v>45934</v>
      </c>
      <c r="C128">
        <v>20220012906</v>
      </c>
      <c r="D128" t="s">
        <v>85</v>
      </c>
      <c r="E128" t="s">
        <v>82</v>
      </c>
      <c r="F128" t="s">
        <v>83</v>
      </c>
      <c r="G128" t="s">
        <v>8</v>
      </c>
      <c r="H128" s="2">
        <v>100000</v>
      </c>
      <c r="I128" t="str">
        <f>VLOOKUP(G128,'rozdělení obchodníků'!B:D,3, )</f>
        <v>Praha</v>
      </c>
    </row>
    <row r="129" spans="2:9" x14ac:dyDescent="0.25">
      <c r="B129" s="1">
        <v>45936</v>
      </c>
      <c r="C129">
        <v>20220012954</v>
      </c>
      <c r="D129" t="s">
        <v>85</v>
      </c>
      <c r="E129" t="s">
        <v>82</v>
      </c>
      <c r="F129" t="s">
        <v>77</v>
      </c>
      <c r="G129" t="s">
        <v>13</v>
      </c>
      <c r="H129" s="2">
        <v>100000</v>
      </c>
      <c r="I129" t="str">
        <f>VLOOKUP(G129,'rozdělení obchodníků'!B:D,3, )</f>
        <v>Čechy</v>
      </c>
    </row>
    <row r="130" spans="2:9" x14ac:dyDescent="0.25">
      <c r="B130" s="1">
        <v>45936</v>
      </c>
      <c r="C130">
        <v>20220012960</v>
      </c>
      <c r="D130" t="s">
        <v>85</v>
      </c>
      <c r="E130" t="s">
        <v>80</v>
      </c>
      <c r="F130" t="s">
        <v>77</v>
      </c>
      <c r="G130" t="s">
        <v>13</v>
      </c>
      <c r="H130" s="2">
        <v>100000</v>
      </c>
      <c r="I130" t="str">
        <f>VLOOKUP(G130,'rozdělení obchodníků'!B:D,3, )</f>
        <v>Čechy</v>
      </c>
    </row>
    <row r="131" spans="2:9" hidden="1" x14ac:dyDescent="0.25">
      <c r="B131" s="1">
        <v>45934</v>
      </c>
      <c r="C131">
        <v>20220012915</v>
      </c>
      <c r="D131" t="s">
        <v>85</v>
      </c>
      <c r="E131" t="s">
        <v>80</v>
      </c>
      <c r="F131" t="s">
        <v>83</v>
      </c>
      <c r="G131" t="s">
        <v>64</v>
      </c>
      <c r="H131" s="2">
        <v>100000</v>
      </c>
      <c r="I131" t="str">
        <f>VLOOKUP(G131,'rozdělení obchodníků'!B:D,3, )</f>
        <v>Praha</v>
      </c>
    </row>
    <row r="132" spans="2:9" hidden="1" x14ac:dyDescent="0.25">
      <c r="B132" s="1">
        <v>45934</v>
      </c>
      <c r="C132">
        <v>20220012918</v>
      </c>
      <c r="D132" t="s">
        <v>85</v>
      </c>
      <c r="E132" t="s">
        <v>80</v>
      </c>
      <c r="F132" t="s">
        <v>83</v>
      </c>
      <c r="G132" t="s">
        <v>64</v>
      </c>
      <c r="H132" s="2">
        <v>100000</v>
      </c>
      <c r="I132" t="str">
        <f>VLOOKUP(G132,'rozdělení obchodníků'!B:D,3, )</f>
        <v>Praha</v>
      </c>
    </row>
    <row r="133" spans="2:9" x14ac:dyDescent="0.25">
      <c r="B133" s="1">
        <v>45936</v>
      </c>
      <c r="C133">
        <v>20220012966</v>
      </c>
      <c r="D133" t="s">
        <v>85</v>
      </c>
      <c r="E133" t="s">
        <v>81</v>
      </c>
      <c r="F133" t="s">
        <v>77</v>
      </c>
      <c r="G133" t="s">
        <v>13</v>
      </c>
      <c r="H133" s="2">
        <v>600000</v>
      </c>
      <c r="I133" t="str">
        <f>VLOOKUP(G133,'rozdělení obchodníků'!B:D,3, )</f>
        <v>Čechy</v>
      </c>
    </row>
    <row r="134" spans="2:9" x14ac:dyDescent="0.25">
      <c r="B134" s="1">
        <v>45936</v>
      </c>
      <c r="C134">
        <v>20220012975</v>
      </c>
      <c r="D134" t="s">
        <v>85</v>
      </c>
      <c r="E134" t="s">
        <v>82</v>
      </c>
      <c r="F134" t="s">
        <v>77</v>
      </c>
      <c r="G134" t="s">
        <v>13</v>
      </c>
      <c r="H134" s="2">
        <v>100000</v>
      </c>
      <c r="I134" t="str">
        <f>VLOOKUP(G134,'rozdělení obchodníků'!B:D,3, )</f>
        <v>Čechy</v>
      </c>
    </row>
    <row r="135" spans="2:9" x14ac:dyDescent="0.25">
      <c r="B135" s="1">
        <v>45936</v>
      </c>
      <c r="C135">
        <v>20220013011</v>
      </c>
      <c r="D135" t="s">
        <v>85</v>
      </c>
      <c r="E135" t="s">
        <v>82</v>
      </c>
      <c r="F135" t="s">
        <v>77</v>
      </c>
      <c r="G135" t="s">
        <v>13</v>
      </c>
      <c r="H135" s="2">
        <v>100000</v>
      </c>
      <c r="I135" t="str">
        <f>VLOOKUP(G135,'rozdělení obchodníků'!B:D,3, )</f>
        <v>Čechy</v>
      </c>
    </row>
    <row r="136" spans="2:9" x14ac:dyDescent="0.25">
      <c r="B136" s="1">
        <v>45938</v>
      </c>
      <c r="C136">
        <v>20220013206</v>
      </c>
      <c r="D136" t="s">
        <v>85</v>
      </c>
      <c r="E136" t="s">
        <v>82</v>
      </c>
      <c r="F136" t="s">
        <v>77</v>
      </c>
      <c r="G136" t="s">
        <v>13</v>
      </c>
      <c r="H136" s="2">
        <v>100000</v>
      </c>
      <c r="I136" t="str">
        <f>VLOOKUP(G136,'rozdělení obchodníků'!B:D,3, )</f>
        <v>Čechy</v>
      </c>
    </row>
    <row r="137" spans="2:9" x14ac:dyDescent="0.25">
      <c r="B137" s="1">
        <v>45938</v>
      </c>
      <c r="C137">
        <v>20220013215</v>
      </c>
      <c r="D137" t="s">
        <v>85</v>
      </c>
      <c r="E137" t="s">
        <v>80</v>
      </c>
      <c r="F137" t="s">
        <v>77</v>
      </c>
      <c r="G137" t="s">
        <v>13</v>
      </c>
      <c r="H137" s="2">
        <v>100000</v>
      </c>
      <c r="I137" t="str">
        <f>VLOOKUP(G137,'rozdělení obchodníků'!B:D,3, )</f>
        <v>Čechy</v>
      </c>
    </row>
    <row r="138" spans="2:9" x14ac:dyDescent="0.25">
      <c r="B138" s="1">
        <v>45938</v>
      </c>
      <c r="C138">
        <v>20220013227</v>
      </c>
      <c r="D138" t="s">
        <v>85</v>
      </c>
      <c r="E138" t="s">
        <v>82</v>
      </c>
      <c r="F138" t="s">
        <v>77</v>
      </c>
      <c r="G138" t="s">
        <v>13</v>
      </c>
      <c r="H138" s="2">
        <v>100000</v>
      </c>
      <c r="I138" t="str">
        <f>VLOOKUP(G138,'rozdělení obchodníků'!B:D,3, )</f>
        <v>Čechy</v>
      </c>
    </row>
    <row r="139" spans="2:9" hidden="1" x14ac:dyDescent="0.25">
      <c r="B139" s="1">
        <v>45934</v>
      </c>
      <c r="C139">
        <v>20220012939</v>
      </c>
      <c r="D139" t="s">
        <v>85</v>
      </c>
      <c r="E139" t="s">
        <v>80</v>
      </c>
      <c r="F139" t="s">
        <v>83</v>
      </c>
      <c r="G139" t="s">
        <v>62</v>
      </c>
      <c r="H139" s="2">
        <v>300000</v>
      </c>
      <c r="I139" t="str">
        <f>VLOOKUP(G139,'rozdělení obchodníků'!B:D,3, )</f>
        <v>Čechy</v>
      </c>
    </row>
    <row r="140" spans="2:9" hidden="1" x14ac:dyDescent="0.25">
      <c r="B140" s="1">
        <v>45934</v>
      </c>
      <c r="C140">
        <v>20220012942</v>
      </c>
      <c r="D140" t="s">
        <v>85</v>
      </c>
      <c r="E140" t="s">
        <v>82</v>
      </c>
      <c r="F140" t="s">
        <v>83</v>
      </c>
      <c r="G140" t="s">
        <v>62</v>
      </c>
      <c r="H140" s="2">
        <v>100000</v>
      </c>
      <c r="I140" t="str">
        <f>VLOOKUP(G140,'rozdělení obchodníků'!B:D,3, )</f>
        <v>Čechy</v>
      </c>
    </row>
    <row r="141" spans="2:9" x14ac:dyDescent="0.25">
      <c r="B141" s="1">
        <v>45938</v>
      </c>
      <c r="C141">
        <v>20220013236</v>
      </c>
      <c r="D141" t="s">
        <v>85</v>
      </c>
      <c r="E141" t="s">
        <v>81</v>
      </c>
      <c r="F141" t="s">
        <v>77</v>
      </c>
      <c r="G141" t="s">
        <v>13</v>
      </c>
      <c r="H141" s="2">
        <v>100000</v>
      </c>
      <c r="I141" t="str">
        <f>VLOOKUP(G141,'rozdělení obchodníků'!B:D,3, )</f>
        <v>Čechy</v>
      </c>
    </row>
    <row r="142" spans="2:9" x14ac:dyDescent="0.25">
      <c r="B142" s="1">
        <v>45938</v>
      </c>
      <c r="C142">
        <v>20220013242</v>
      </c>
      <c r="D142" t="s">
        <v>85</v>
      </c>
      <c r="E142" t="s">
        <v>81</v>
      </c>
      <c r="F142" t="s">
        <v>77</v>
      </c>
      <c r="G142" t="s">
        <v>13</v>
      </c>
      <c r="H142" s="2">
        <v>750000</v>
      </c>
      <c r="I142" t="str">
        <f>VLOOKUP(G142,'rozdělení obchodníků'!B:D,3, )</f>
        <v>Čechy</v>
      </c>
    </row>
    <row r="143" spans="2:9" x14ac:dyDescent="0.25">
      <c r="B143" s="1">
        <v>45938</v>
      </c>
      <c r="C143">
        <v>20220013263</v>
      </c>
      <c r="D143" t="s">
        <v>85</v>
      </c>
      <c r="E143" t="s">
        <v>80</v>
      </c>
      <c r="F143" t="s">
        <v>77</v>
      </c>
      <c r="G143" t="s">
        <v>13</v>
      </c>
      <c r="H143" s="2">
        <v>100000</v>
      </c>
      <c r="I143" t="str">
        <f>VLOOKUP(G143,'rozdělení obchodníků'!B:D,3, )</f>
        <v>Čechy</v>
      </c>
    </row>
    <row r="144" spans="2:9" x14ac:dyDescent="0.25">
      <c r="B144" s="1">
        <v>45938</v>
      </c>
      <c r="C144">
        <v>20220013269</v>
      </c>
      <c r="D144" t="s">
        <v>85</v>
      </c>
      <c r="E144" t="s">
        <v>81</v>
      </c>
      <c r="F144" t="s">
        <v>77</v>
      </c>
      <c r="G144" t="s">
        <v>13</v>
      </c>
      <c r="H144" s="2">
        <v>1000000</v>
      </c>
      <c r="I144" t="str">
        <f>VLOOKUP(G144,'rozdělení obchodníků'!B:D,3, )</f>
        <v>Čechy</v>
      </c>
    </row>
    <row r="145" spans="2:9" hidden="1" x14ac:dyDescent="0.25">
      <c r="B145" s="1">
        <v>45936</v>
      </c>
      <c r="C145">
        <v>20220012957</v>
      </c>
      <c r="D145" t="s">
        <v>85</v>
      </c>
      <c r="E145" t="s">
        <v>80</v>
      </c>
      <c r="F145" t="s">
        <v>83</v>
      </c>
      <c r="G145" t="s">
        <v>3</v>
      </c>
      <c r="H145" s="2">
        <v>250000</v>
      </c>
      <c r="I145" t="str">
        <f>VLOOKUP(G145,'rozdělení obchodníků'!B:D,3, )</f>
        <v>Morava</v>
      </c>
    </row>
    <row r="146" spans="2:9" x14ac:dyDescent="0.25">
      <c r="B146" s="1">
        <v>45948</v>
      </c>
      <c r="C146">
        <v>20220013566</v>
      </c>
      <c r="D146" t="s">
        <v>85</v>
      </c>
      <c r="E146" t="s">
        <v>82</v>
      </c>
      <c r="F146" t="s">
        <v>77</v>
      </c>
      <c r="G146" t="s">
        <v>13</v>
      </c>
      <c r="H146" s="2">
        <v>100000</v>
      </c>
      <c r="I146" t="str">
        <f>VLOOKUP(G146,'rozdělení obchodníků'!B:D,3, )</f>
        <v>Čechy</v>
      </c>
    </row>
    <row r="147" spans="2:9" x14ac:dyDescent="0.25">
      <c r="B147" s="1">
        <v>45948</v>
      </c>
      <c r="C147">
        <v>20220013569</v>
      </c>
      <c r="D147" t="s">
        <v>85</v>
      </c>
      <c r="E147" t="s">
        <v>82</v>
      </c>
      <c r="F147" t="s">
        <v>77</v>
      </c>
      <c r="G147" t="s">
        <v>13</v>
      </c>
      <c r="H147" s="2">
        <v>1500000</v>
      </c>
      <c r="I147" t="str">
        <f>VLOOKUP(G147,'rozdělení obchodníků'!B:D,3, )</f>
        <v>Čechy</v>
      </c>
    </row>
    <row r="148" spans="2:9" x14ac:dyDescent="0.25">
      <c r="B148" s="1">
        <v>45948</v>
      </c>
      <c r="C148">
        <v>20220013572</v>
      </c>
      <c r="D148" t="s">
        <v>85</v>
      </c>
      <c r="E148" t="s">
        <v>82</v>
      </c>
      <c r="F148" t="s">
        <v>77</v>
      </c>
      <c r="G148" t="s">
        <v>13</v>
      </c>
      <c r="H148" s="2">
        <v>100000</v>
      </c>
      <c r="I148" t="str">
        <f>VLOOKUP(G148,'rozdělení obchodníků'!B:D,3, )</f>
        <v>Čechy</v>
      </c>
    </row>
    <row r="149" spans="2:9" x14ac:dyDescent="0.25">
      <c r="B149" s="1">
        <v>45948</v>
      </c>
      <c r="C149">
        <v>20220013575</v>
      </c>
      <c r="D149" t="s">
        <v>85</v>
      </c>
      <c r="E149" t="s">
        <v>82</v>
      </c>
      <c r="F149" t="s">
        <v>77</v>
      </c>
      <c r="G149" t="s">
        <v>13</v>
      </c>
      <c r="H149" s="2">
        <v>1250000</v>
      </c>
      <c r="I149" t="str">
        <f>VLOOKUP(G149,'rozdělení obchodníků'!B:D,3, )</f>
        <v>Čechy</v>
      </c>
    </row>
    <row r="150" spans="2:9" x14ac:dyDescent="0.25">
      <c r="B150" s="1">
        <v>45948</v>
      </c>
      <c r="C150">
        <v>20220013584</v>
      </c>
      <c r="D150" t="s">
        <v>85</v>
      </c>
      <c r="E150" t="s">
        <v>81</v>
      </c>
      <c r="F150" t="s">
        <v>77</v>
      </c>
      <c r="G150" t="s">
        <v>13</v>
      </c>
      <c r="H150" s="2">
        <v>100000</v>
      </c>
      <c r="I150" t="str">
        <f>VLOOKUP(G150,'rozdělení obchodníků'!B:D,3, )</f>
        <v>Čechy</v>
      </c>
    </row>
    <row r="151" spans="2:9" x14ac:dyDescent="0.25">
      <c r="B151" s="1">
        <v>45948</v>
      </c>
      <c r="C151">
        <v>20220013587</v>
      </c>
      <c r="D151" t="s">
        <v>85</v>
      </c>
      <c r="E151" t="s">
        <v>81</v>
      </c>
      <c r="F151" t="s">
        <v>77</v>
      </c>
      <c r="G151" t="s">
        <v>13</v>
      </c>
      <c r="H151" s="2">
        <v>100000</v>
      </c>
      <c r="I151" t="str">
        <f>VLOOKUP(G151,'rozdělení obchodníků'!B:D,3, )</f>
        <v>Čechy</v>
      </c>
    </row>
    <row r="152" spans="2:9" x14ac:dyDescent="0.25">
      <c r="B152" s="1">
        <v>45948</v>
      </c>
      <c r="C152">
        <v>20220013590</v>
      </c>
      <c r="D152" t="s">
        <v>85</v>
      </c>
      <c r="E152" t="s">
        <v>81</v>
      </c>
      <c r="F152" t="s">
        <v>77</v>
      </c>
      <c r="G152" t="s">
        <v>13</v>
      </c>
      <c r="H152" s="2">
        <v>750000</v>
      </c>
      <c r="I152" t="str">
        <f>VLOOKUP(G152,'rozdělení obchodníků'!B:D,3, )</f>
        <v>Čechy</v>
      </c>
    </row>
    <row r="153" spans="2:9" x14ac:dyDescent="0.25">
      <c r="B153" s="1">
        <v>45948</v>
      </c>
      <c r="C153">
        <v>20220013593</v>
      </c>
      <c r="D153" t="s">
        <v>85</v>
      </c>
      <c r="E153" t="s">
        <v>81</v>
      </c>
      <c r="F153" t="s">
        <v>77</v>
      </c>
      <c r="G153" t="s">
        <v>13</v>
      </c>
      <c r="H153" s="2">
        <v>750000</v>
      </c>
      <c r="I153" t="str">
        <f>VLOOKUP(G153,'rozdělení obchodníků'!B:D,3, )</f>
        <v>Čechy</v>
      </c>
    </row>
    <row r="154" spans="2:9" x14ac:dyDescent="0.25">
      <c r="B154" s="1">
        <v>45948</v>
      </c>
      <c r="C154">
        <v>20220013605</v>
      </c>
      <c r="D154" t="s">
        <v>85</v>
      </c>
      <c r="E154" t="s">
        <v>80</v>
      </c>
      <c r="F154" t="s">
        <v>77</v>
      </c>
      <c r="G154" t="s">
        <v>13</v>
      </c>
      <c r="H154" s="2">
        <v>1000000</v>
      </c>
      <c r="I154" t="str">
        <f>VLOOKUP(G154,'rozdělení obchodníků'!B:D,3, )</f>
        <v>Čechy</v>
      </c>
    </row>
    <row r="155" spans="2:9" hidden="1" x14ac:dyDescent="0.25">
      <c r="B155" s="1">
        <v>45936</v>
      </c>
      <c r="C155">
        <v>20220012987</v>
      </c>
      <c r="D155" t="s">
        <v>85</v>
      </c>
      <c r="E155" t="s">
        <v>80</v>
      </c>
      <c r="F155" t="s">
        <v>83</v>
      </c>
      <c r="G155" t="s">
        <v>13</v>
      </c>
      <c r="H155" s="2">
        <v>100000</v>
      </c>
      <c r="I155" t="str">
        <f>VLOOKUP(G155,'rozdělení obchodníků'!B:D,3, )</f>
        <v>Čechy</v>
      </c>
    </row>
    <row r="156" spans="2:9" x14ac:dyDescent="0.25">
      <c r="B156" s="1">
        <v>45948</v>
      </c>
      <c r="C156">
        <v>20220013608</v>
      </c>
      <c r="D156" t="s">
        <v>85</v>
      </c>
      <c r="E156" t="s">
        <v>80</v>
      </c>
      <c r="F156" t="s">
        <v>77</v>
      </c>
      <c r="G156" t="s">
        <v>13</v>
      </c>
      <c r="H156" s="2">
        <v>250000</v>
      </c>
      <c r="I156" t="str">
        <f>VLOOKUP(G156,'rozdělení obchodníků'!B:D,3, )</f>
        <v>Čechy</v>
      </c>
    </row>
    <row r="157" spans="2:9" x14ac:dyDescent="0.25">
      <c r="B157" s="1">
        <v>45953</v>
      </c>
      <c r="C157">
        <v>20220013818</v>
      </c>
      <c r="D157" t="s">
        <v>85</v>
      </c>
      <c r="E157" t="s">
        <v>81</v>
      </c>
      <c r="F157" t="s">
        <v>77</v>
      </c>
      <c r="G157" t="s">
        <v>13</v>
      </c>
      <c r="H157" s="2">
        <v>1250000</v>
      </c>
      <c r="I157" t="str">
        <f>VLOOKUP(G157,'rozdělení obchodníků'!B:D,3, )</f>
        <v>Čechy</v>
      </c>
    </row>
    <row r="158" spans="2:9" x14ac:dyDescent="0.25">
      <c r="B158" s="1">
        <v>45953</v>
      </c>
      <c r="C158">
        <v>20220013821</v>
      </c>
      <c r="D158" t="s">
        <v>85</v>
      </c>
      <c r="E158" t="s">
        <v>81</v>
      </c>
      <c r="F158" t="s">
        <v>77</v>
      </c>
      <c r="G158" t="s">
        <v>13</v>
      </c>
      <c r="H158" s="2">
        <v>100000</v>
      </c>
      <c r="I158" t="str">
        <f>VLOOKUP(G158,'rozdělení obchodníků'!B:D,3, )</f>
        <v>Čechy</v>
      </c>
    </row>
    <row r="159" spans="2:9" x14ac:dyDescent="0.25">
      <c r="B159" s="1">
        <v>45953</v>
      </c>
      <c r="C159">
        <v>20220013824</v>
      </c>
      <c r="D159" t="s">
        <v>85</v>
      </c>
      <c r="E159" t="s">
        <v>81</v>
      </c>
      <c r="F159" t="s">
        <v>77</v>
      </c>
      <c r="G159" t="s">
        <v>13</v>
      </c>
      <c r="H159" s="2">
        <v>100000</v>
      </c>
      <c r="I159" t="str">
        <f>VLOOKUP(G159,'rozdělení obchodníků'!B:D,3, )</f>
        <v>Čechy</v>
      </c>
    </row>
    <row r="160" spans="2:9" x14ac:dyDescent="0.25">
      <c r="B160" s="1">
        <v>45958</v>
      </c>
      <c r="C160">
        <v>20220013968</v>
      </c>
      <c r="D160" t="s">
        <v>85</v>
      </c>
      <c r="E160" t="s">
        <v>80</v>
      </c>
      <c r="F160" t="s">
        <v>77</v>
      </c>
      <c r="G160" t="s">
        <v>13</v>
      </c>
      <c r="H160" s="2">
        <v>300000</v>
      </c>
      <c r="I160" t="str">
        <f>VLOOKUP(G160,'rozdělení obchodníků'!B:D,3, )</f>
        <v>Čechy</v>
      </c>
    </row>
    <row r="161" spans="2:9" x14ac:dyDescent="0.25">
      <c r="B161" s="1">
        <v>45934</v>
      </c>
      <c r="C161">
        <v>20220012861</v>
      </c>
      <c r="D161" t="s">
        <v>85</v>
      </c>
      <c r="E161" t="s">
        <v>81</v>
      </c>
      <c r="F161" t="s">
        <v>77</v>
      </c>
      <c r="G161" t="s">
        <v>4</v>
      </c>
      <c r="H161" s="2">
        <v>100000</v>
      </c>
      <c r="I161" t="str">
        <f>VLOOKUP(G161,'rozdělení obchodníků'!B:D,3, )</f>
        <v>Morava</v>
      </c>
    </row>
    <row r="162" spans="2:9" x14ac:dyDescent="0.25">
      <c r="B162" s="1">
        <v>45934</v>
      </c>
      <c r="C162">
        <v>20220012864</v>
      </c>
      <c r="D162" t="s">
        <v>85</v>
      </c>
      <c r="E162" t="s">
        <v>81</v>
      </c>
      <c r="F162" t="s">
        <v>77</v>
      </c>
      <c r="G162" t="s">
        <v>4</v>
      </c>
      <c r="H162" s="2">
        <v>100000</v>
      </c>
      <c r="I162" t="str">
        <f>VLOOKUP(G162,'rozdělení obchodníků'!B:D,3, )</f>
        <v>Morava</v>
      </c>
    </row>
    <row r="163" spans="2:9" x14ac:dyDescent="0.25">
      <c r="B163" s="1">
        <v>45934</v>
      </c>
      <c r="C163">
        <v>20220012873</v>
      </c>
      <c r="D163" t="s">
        <v>85</v>
      </c>
      <c r="E163" t="s">
        <v>81</v>
      </c>
      <c r="F163" t="s">
        <v>77</v>
      </c>
      <c r="G163" t="s">
        <v>4</v>
      </c>
      <c r="H163" s="2">
        <v>1000000</v>
      </c>
      <c r="I163" t="str">
        <f>VLOOKUP(G163,'rozdělení obchodníků'!B:D,3, )</f>
        <v>Morava</v>
      </c>
    </row>
    <row r="164" spans="2:9" x14ac:dyDescent="0.25">
      <c r="B164" s="1">
        <v>45934</v>
      </c>
      <c r="C164">
        <v>20220012876</v>
      </c>
      <c r="D164" t="s">
        <v>85</v>
      </c>
      <c r="E164" t="s">
        <v>81</v>
      </c>
      <c r="F164" t="s">
        <v>77</v>
      </c>
      <c r="G164" t="s">
        <v>4</v>
      </c>
      <c r="H164" s="2">
        <v>100000</v>
      </c>
      <c r="I164" t="str">
        <f>VLOOKUP(G164,'rozdělení obchodníků'!B:D,3, )</f>
        <v>Morava</v>
      </c>
    </row>
    <row r="165" spans="2:9" hidden="1" x14ac:dyDescent="0.25">
      <c r="B165" s="1">
        <v>45936</v>
      </c>
      <c r="C165">
        <v>20220013017</v>
      </c>
      <c r="D165" t="s">
        <v>85</v>
      </c>
      <c r="E165" t="s">
        <v>82</v>
      </c>
      <c r="F165" t="s">
        <v>83</v>
      </c>
      <c r="G165" t="s">
        <v>64</v>
      </c>
      <c r="H165" s="2">
        <v>100000</v>
      </c>
      <c r="I165" t="str">
        <f>VLOOKUP(G165,'rozdělení obchodníků'!B:D,3, )</f>
        <v>Praha</v>
      </c>
    </row>
    <row r="166" spans="2:9" x14ac:dyDescent="0.25">
      <c r="B166" s="1">
        <v>45934</v>
      </c>
      <c r="C166">
        <v>20220012879</v>
      </c>
      <c r="D166" t="s">
        <v>85</v>
      </c>
      <c r="E166" t="s">
        <v>82</v>
      </c>
      <c r="F166" t="s">
        <v>77</v>
      </c>
      <c r="G166" t="s">
        <v>4</v>
      </c>
      <c r="H166" s="2">
        <v>100000</v>
      </c>
      <c r="I166" t="str">
        <f>VLOOKUP(G166,'rozdělení obchodníků'!B:D,3, )</f>
        <v>Morava</v>
      </c>
    </row>
    <row r="167" spans="2:9" x14ac:dyDescent="0.25">
      <c r="B167" s="1">
        <v>45934</v>
      </c>
      <c r="C167">
        <v>20220012882</v>
      </c>
      <c r="D167" t="s">
        <v>85</v>
      </c>
      <c r="E167" t="s">
        <v>82</v>
      </c>
      <c r="F167" t="s">
        <v>77</v>
      </c>
      <c r="G167" t="s">
        <v>4</v>
      </c>
      <c r="H167" s="2">
        <v>100000</v>
      </c>
      <c r="I167" t="str">
        <f>VLOOKUP(G167,'rozdělení obchodníků'!B:D,3, )</f>
        <v>Morava</v>
      </c>
    </row>
    <row r="168" spans="2:9" x14ac:dyDescent="0.25">
      <c r="B168" s="1">
        <v>45936</v>
      </c>
      <c r="C168">
        <v>20220012981</v>
      </c>
      <c r="D168" t="s">
        <v>85</v>
      </c>
      <c r="E168" t="s">
        <v>80</v>
      </c>
      <c r="F168" t="s">
        <v>77</v>
      </c>
      <c r="G168" t="s">
        <v>4</v>
      </c>
      <c r="H168" s="2">
        <v>100000</v>
      </c>
      <c r="I168" t="str">
        <f>VLOOKUP(G168,'rozdělení obchodníků'!B:D,3, )</f>
        <v>Morava</v>
      </c>
    </row>
    <row r="169" spans="2:9" x14ac:dyDescent="0.25">
      <c r="B169" s="1">
        <v>45936</v>
      </c>
      <c r="C169">
        <v>20220012996</v>
      </c>
      <c r="D169" t="s">
        <v>85</v>
      </c>
      <c r="E169" t="s">
        <v>82</v>
      </c>
      <c r="F169" t="s">
        <v>77</v>
      </c>
      <c r="G169" t="s">
        <v>4</v>
      </c>
      <c r="H169" s="2">
        <v>1000000</v>
      </c>
      <c r="I169" t="str">
        <f>VLOOKUP(G169,'rozdělení obchodníků'!B:D,3, )</f>
        <v>Morava</v>
      </c>
    </row>
    <row r="170" spans="2:9" x14ac:dyDescent="0.25">
      <c r="B170" s="1">
        <v>45936</v>
      </c>
      <c r="C170">
        <v>20220013005</v>
      </c>
      <c r="D170" t="s">
        <v>85</v>
      </c>
      <c r="E170" t="s">
        <v>82</v>
      </c>
      <c r="F170" t="s">
        <v>77</v>
      </c>
      <c r="G170" t="s">
        <v>4</v>
      </c>
      <c r="H170" s="2">
        <v>100000</v>
      </c>
      <c r="I170" t="str">
        <f>VLOOKUP(G170,'rozdělení obchodníků'!B:D,3, )</f>
        <v>Morava</v>
      </c>
    </row>
    <row r="171" spans="2:9" x14ac:dyDescent="0.25">
      <c r="B171" s="1">
        <v>45937</v>
      </c>
      <c r="C171">
        <v>20220013053</v>
      </c>
      <c r="D171" t="s">
        <v>85</v>
      </c>
      <c r="E171" t="s">
        <v>82</v>
      </c>
      <c r="F171" t="s">
        <v>77</v>
      </c>
      <c r="G171" t="s">
        <v>4</v>
      </c>
      <c r="H171" s="2">
        <v>750000</v>
      </c>
      <c r="I171" t="str">
        <f>VLOOKUP(G171,'rozdělení obchodníků'!B:D,3, )</f>
        <v>Morava</v>
      </c>
    </row>
    <row r="172" spans="2:9" x14ac:dyDescent="0.25">
      <c r="B172" s="1">
        <v>45937</v>
      </c>
      <c r="C172">
        <v>20220013056</v>
      </c>
      <c r="D172" t="s">
        <v>85</v>
      </c>
      <c r="E172" t="s">
        <v>82</v>
      </c>
      <c r="F172" t="s">
        <v>77</v>
      </c>
      <c r="G172" t="s">
        <v>4</v>
      </c>
      <c r="H172" s="2">
        <v>1750000</v>
      </c>
      <c r="I172" t="str">
        <f>VLOOKUP(G172,'rozdělení obchodníků'!B:D,3, )</f>
        <v>Morava</v>
      </c>
    </row>
    <row r="173" spans="2:9" x14ac:dyDescent="0.25">
      <c r="B173" s="1">
        <v>45937</v>
      </c>
      <c r="C173">
        <v>20220013059</v>
      </c>
      <c r="D173" t="s">
        <v>85</v>
      </c>
      <c r="E173" t="s">
        <v>80</v>
      </c>
      <c r="F173" t="s">
        <v>77</v>
      </c>
      <c r="G173" t="s">
        <v>4</v>
      </c>
      <c r="H173" s="2">
        <v>750000</v>
      </c>
      <c r="I173" t="str">
        <f>VLOOKUP(G173,'rozdělení obchodníků'!B:D,3, )</f>
        <v>Morava</v>
      </c>
    </row>
    <row r="174" spans="2:9" x14ac:dyDescent="0.25">
      <c r="B174" s="1">
        <v>45937</v>
      </c>
      <c r="C174">
        <v>20220013062</v>
      </c>
      <c r="D174" t="s">
        <v>85</v>
      </c>
      <c r="E174" t="s">
        <v>80</v>
      </c>
      <c r="F174" t="s">
        <v>77</v>
      </c>
      <c r="G174" t="s">
        <v>4</v>
      </c>
      <c r="H174" s="2">
        <v>750000</v>
      </c>
      <c r="I174" t="str">
        <f>VLOOKUP(G174,'rozdělení obchodníků'!B:D,3, )</f>
        <v>Morava</v>
      </c>
    </row>
    <row r="175" spans="2:9" x14ac:dyDescent="0.25">
      <c r="B175" s="1">
        <v>45937</v>
      </c>
      <c r="C175">
        <v>20220013065</v>
      </c>
      <c r="D175" t="s">
        <v>85</v>
      </c>
      <c r="E175" t="s">
        <v>80</v>
      </c>
      <c r="F175" t="s">
        <v>77</v>
      </c>
      <c r="G175" t="s">
        <v>4</v>
      </c>
      <c r="H175" s="2">
        <v>600000</v>
      </c>
      <c r="I175" t="str">
        <f>VLOOKUP(G175,'rozdělení obchodníků'!B:D,3, )</f>
        <v>Morava</v>
      </c>
    </row>
    <row r="176" spans="2:9" x14ac:dyDescent="0.25">
      <c r="B176" s="1">
        <v>45937</v>
      </c>
      <c r="C176">
        <v>20220013068</v>
      </c>
      <c r="D176" t="s">
        <v>85</v>
      </c>
      <c r="E176" t="s">
        <v>82</v>
      </c>
      <c r="F176" t="s">
        <v>77</v>
      </c>
      <c r="G176" t="s">
        <v>4</v>
      </c>
      <c r="H176" s="2">
        <v>100000</v>
      </c>
      <c r="I176" t="str">
        <f>VLOOKUP(G176,'rozdělení obchodníků'!B:D,3, )</f>
        <v>Morava</v>
      </c>
    </row>
    <row r="177" spans="2:9" x14ac:dyDescent="0.25">
      <c r="B177" s="1">
        <v>45937</v>
      </c>
      <c r="C177">
        <v>20220013071</v>
      </c>
      <c r="D177" t="s">
        <v>85</v>
      </c>
      <c r="E177" t="s">
        <v>82</v>
      </c>
      <c r="F177" t="s">
        <v>77</v>
      </c>
      <c r="G177" t="s">
        <v>4</v>
      </c>
      <c r="H177" s="2">
        <v>100000</v>
      </c>
      <c r="I177" t="str">
        <f>VLOOKUP(G177,'rozdělení obchodníků'!B:D,3, )</f>
        <v>Morava</v>
      </c>
    </row>
    <row r="178" spans="2:9" x14ac:dyDescent="0.25">
      <c r="B178" s="1">
        <v>45937</v>
      </c>
      <c r="C178">
        <v>20220013074</v>
      </c>
      <c r="D178" t="s">
        <v>85</v>
      </c>
      <c r="E178" t="s">
        <v>80</v>
      </c>
      <c r="F178" t="s">
        <v>77</v>
      </c>
      <c r="G178" t="s">
        <v>4</v>
      </c>
      <c r="H178" s="2">
        <v>1000000</v>
      </c>
      <c r="I178" t="str">
        <f>VLOOKUP(G178,'rozdělení obchodníků'!B:D,3, )</f>
        <v>Morava</v>
      </c>
    </row>
    <row r="179" spans="2:9" x14ac:dyDescent="0.25">
      <c r="B179" s="1">
        <v>45937</v>
      </c>
      <c r="C179">
        <v>20220013083</v>
      </c>
      <c r="D179" t="s">
        <v>85</v>
      </c>
      <c r="E179" t="s">
        <v>80</v>
      </c>
      <c r="F179" t="s">
        <v>77</v>
      </c>
      <c r="G179" t="s">
        <v>4</v>
      </c>
      <c r="H179" s="2">
        <v>750000</v>
      </c>
      <c r="I179" t="str">
        <f>VLOOKUP(G179,'rozdělení obchodníků'!B:D,3, )</f>
        <v>Morava</v>
      </c>
    </row>
    <row r="180" spans="2:9" x14ac:dyDescent="0.25">
      <c r="B180" s="1">
        <v>45937</v>
      </c>
      <c r="C180">
        <v>20220013086</v>
      </c>
      <c r="D180" t="s">
        <v>85</v>
      </c>
      <c r="E180" t="s">
        <v>80</v>
      </c>
      <c r="F180" t="s">
        <v>77</v>
      </c>
      <c r="G180" t="s">
        <v>4</v>
      </c>
      <c r="H180" s="2">
        <v>750000</v>
      </c>
      <c r="I180" t="str">
        <f>VLOOKUP(G180,'rozdělení obchodníků'!B:D,3, )</f>
        <v>Morava</v>
      </c>
    </row>
    <row r="181" spans="2:9" x14ac:dyDescent="0.25">
      <c r="B181" s="1">
        <v>45937</v>
      </c>
      <c r="C181">
        <v>20220013110</v>
      </c>
      <c r="D181" t="s">
        <v>85</v>
      </c>
      <c r="E181" t="s">
        <v>82</v>
      </c>
      <c r="F181" t="s">
        <v>77</v>
      </c>
      <c r="G181" t="s">
        <v>4</v>
      </c>
      <c r="H181" s="2">
        <v>100000</v>
      </c>
      <c r="I181" t="str">
        <f>VLOOKUP(G181,'rozdělení obchodníků'!B:D,3, )</f>
        <v>Morava</v>
      </c>
    </row>
    <row r="182" spans="2:9" x14ac:dyDescent="0.25">
      <c r="B182" s="1">
        <v>45938</v>
      </c>
      <c r="C182">
        <v>20220013149</v>
      </c>
      <c r="D182" t="s">
        <v>85</v>
      </c>
      <c r="E182" t="s">
        <v>80</v>
      </c>
      <c r="F182" t="s">
        <v>77</v>
      </c>
      <c r="G182" t="s">
        <v>4</v>
      </c>
      <c r="H182" s="2">
        <v>100000</v>
      </c>
      <c r="I182" t="str">
        <f>VLOOKUP(G182,'rozdělení obchodníků'!B:D,3, )</f>
        <v>Morava</v>
      </c>
    </row>
    <row r="183" spans="2:9" x14ac:dyDescent="0.25">
      <c r="B183" s="1">
        <v>45938</v>
      </c>
      <c r="C183">
        <v>20220013164</v>
      </c>
      <c r="D183" t="s">
        <v>85</v>
      </c>
      <c r="E183" t="s">
        <v>82</v>
      </c>
      <c r="F183" t="s">
        <v>77</v>
      </c>
      <c r="G183" t="s">
        <v>4</v>
      </c>
      <c r="H183" s="2">
        <v>1000000</v>
      </c>
      <c r="I183" t="str">
        <f>VLOOKUP(G183,'rozdělení obchodníků'!B:D,3, )</f>
        <v>Morava</v>
      </c>
    </row>
    <row r="184" spans="2:9" x14ac:dyDescent="0.25">
      <c r="B184" s="1">
        <v>45938</v>
      </c>
      <c r="C184">
        <v>20220013179</v>
      </c>
      <c r="D184" t="s">
        <v>85</v>
      </c>
      <c r="E184" t="s">
        <v>82</v>
      </c>
      <c r="F184" t="s">
        <v>77</v>
      </c>
      <c r="G184" t="s">
        <v>4</v>
      </c>
      <c r="H184" s="2">
        <v>100000</v>
      </c>
      <c r="I184" t="str">
        <f>VLOOKUP(G184,'rozdělení obchodníků'!B:D,3, )</f>
        <v>Morava</v>
      </c>
    </row>
    <row r="185" spans="2:9" x14ac:dyDescent="0.25">
      <c r="B185" s="1">
        <v>45938</v>
      </c>
      <c r="C185">
        <v>20220013194</v>
      </c>
      <c r="D185" t="s">
        <v>85</v>
      </c>
      <c r="E185" t="s">
        <v>82</v>
      </c>
      <c r="F185" t="s">
        <v>77</v>
      </c>
      <c r="G185" t="s">
        <v>4</v>
      </c>
      <c r="H185" s="2">
        <v>1000000</v>
      </c>
      <c r="I185" t="str">
        <f>VLOOKUP(G185,'rozdělení obchodníků'!B:D,3, )</f>
        <v>Morava</v>
      </c>
    </row>
    <row r="186" spans="2:9" x14ac:dyDescent="0.25">
      <c r="B186" s="1">
        <v>45938</v>
      </c>
      <c r="C186">
        <v>20220013209</v>
      </c>
      <c r="D186" t="s">
        <v>85</v>
      </c>
      <c r="E186" t="s">
        <v>81</v>
      </c>
      <c r="F186" t="s">
        <v>77</v>
      </c>
      <c r="G186" t="s">
        <v>4</v>
      </c>
      <c r="H186" s="2">
        <v>2100000</v>
      </c>
      <c r="I186" t="str">
        <f>VLOOKUP(G186,'rozdělení obchodníků'!B:D,3, )</f>
        <v>Morava</v>
      </c>
    </row>
    <row r="187" spans="2:9" x14ac:dyDescent="0.25">
      <c r="B187" s="1">
        <v>45938</v>
      </c>
      <c r="C187">
        <v>20220013230</v>
      </c>
      <c r="D187" t="s">
        <v>85</v>
      </c>
      <c r="E187" t="s">
        <v>81</v>
      </c>
      <c r="F187" t="s">
        <v>77</v>
      </c>
      <c r="G187" t="s">
        <v>4</v>
      </c>
      <c r="H187" s="2">
        <v>2000000</v>
      </c>
      <c r="I187" t="str">
        <f>VLOOKUP(G187,'rozdělení obchodníků'!B:D,3, )</f>
        <v>Morava</v>
      </c>
    </row>
    <row r="188" spans="2:9" x14ac:dyDescent="0.25">
      <c r="B188" s="1">
        <v>45938</v>
      </c>
      <c r="C188">
        <v>20220013254</v>
      </c>
      <c r="D188" t="s">
        <v>85</v>
      </c>
      <c r="E188" t="s">
        <v>81</v>
      </c>
      <c r="F188" t="s">
        <v>77</v>
      </c>
      <c r="G188" t="s">
        <v>4</v>
      </c>
      <c r="H188" s="2">
        <v>750000</v>
      </c>
      <c r="I188" t="str">
        <f>VLOOKUP(G188,'rozdělení obchodníků'!B:D,3, )</f>
        <v>Morava</v>
      </c>
    </row>
    <row r="189" spans="2:9" x14ac:dyDescent="0.25">
      <c r="B189" s="1">
        <v>45938</v>
      </c>
      <c r="C189">
        <v>20220013281</v>
      </c>
      <c r="D189" t="s">
        <v>85</v>
      </c>
      <c r="E189" t="s">
        <v>80</v>
      </c>
      <c r="F189" t="s">
        <v>77</v>
      </c>
      <c r="G189" t="s">
        <v>4</v>
      </c>
      <c r="H189" s="2">
        <v>100000</v>
      </c>
      <c r="I189" t="str">
        <f>VLOOKUP(G189,'rozdělení obchodníků'!B:D,3, )</f>
        <v>Morava</v>
      </c>
    </row>
    <row r="190" spans="2:9" x14ac:dyDescent="0.25">
      <c r="B190" s="1">
        <v>45938</v>
      </c>
      <c r="C190">
        <v>20220013293</v>
      </c>
      <c r="D190" t="s">
        <v>85</v>
      </c>
      <c r="E190" t="s">
        <v>81</v>
      </c>
      <c r="F190" t="s">
        <v>77</v>
      </c>
      <c r="G190" t="s">
        <v>4</v>
      </c>
      <c r="H190" s="2">
        <v>100000</v>
      </c>
      <c r="I190" t="str">
        <f>VLOOKUP(G190,'rozdělení obchodníků'!B:D,3, )</f>
        <v>Morava</v>
      </c>
    </row>
    <row r="191" spans="2:9" x14ac:dyDescent="0.25">
      <c r="B191" s="1">
        <v>45940</v>
      </c>
      <c r="C191">
        <v>20220013374</v>
      </c>
      <c r="D191" t="s">
        <v>85</v>
      </c>
      <c r="E191" t="s">
        <v>81</v>
      </c>
      <c r="F191" t="s">
        <v>77</v>
      </c>
      <c r="G191" t="s">
        <v>4</v>
      </c>
      <c r="H191" s="2">
        <v>1000000</v>
      </c>
      <c r="I191" t="str">
        <f>VLOOKUP(G191,'rozdělení obchodníků'!B:D,3, )</f>
        <v>Morava</v>
      </c>
    </row>
    <row r="192" spans="2:9" x14ac:dyDescent="0.25">
      <c r="B192" s="1">
        <v>45940</v>
      </c>
      <c r="C192">
        <v>20220013380</v>
      </c>
      <c r="D192" t="s">
        <v>85</v>
      </c>
      <c r="E192" t="s">
        <v>81</v>
      </c>
      <c r="F192" t="s">
        <v>77</v>
      </c>
      <c r="G192" t="s">
        <v>4</v>
      </c>
      <c r="H192" s="2">
        <v>100000</v>
      </c>
      <c r="I192" t="str">
        <f>VLOOKUP(G192,'rozdělení obchodníků'!B:D,3, )</f>
        <v>Morava</v>
      </c>
    </row>
    <row r="193" spans="2:9" x14ac:dyDescent="0.25">
      <c r="B193" s="1">
        <v>45940</v>
      </c>
      <c r="C193">
        <v>20220013386</v>
      </c>
      <c r="D193" t="s">
        <v>85</v>
      </c>
      <c r="E193" t="s">
        <v>81</v>
      </c>
      <c r="F193" t="s">
        <v>77</v>
      </c>
      <c r="G193" t="s">
        <v>4</v>
      </c>
      <c r="H193" s="2">
        <v>100000</v>
      </c>
      <c r="I193" t="str">
        <f>VLOOKUP(G193,'rozdělení obchodníků'!B:D,3, )</f>
        <v>Morava</v>
      </c>
    </row>
    <row r="194" spans="2:9" x14ac:dyDescent="0.25">
      <c r="B194" s="1">
        <v>45940</v>
      </c>
      <c r="C194">
        <v>20220013389</v>
      </c>
      <c r="D194" t="s">
        <v>85</v>
      </c>
      <c r="E194" t="s">
        <v>81</v>
      </c>
      <c r="F194" t="s">
        <v>77</v>
      </c>
      <c r="G194" t="s">
        <v>4</v>
      </c>
      <c r="H194" s="2">
        <v>750000</v>
      </c>
      <c r="I194" t="str">
        <f>VLOOKUP(G194,'rozdělení obchodníků'!B:D,3, )</f>
        <v>Morava</v>
      </c>
    </row>
    <row r="195" spans="2:9" x14ac:dyDescent="0.25">
      <c r="B195" s="1">
        <v>45941</v>
      </c>
      <c r="C195">
        <v>20220013404</v>
      </c>
      <c r="D195" t="s">
        <v>85</v>
      </c>
      <c r="E195" t="s">
        <v>80</v>
      </c>
      <c r="F195" t="s">
        <v>77</v>
      </c>
      <c r="G195" t="s">
        <v>4</v>
      </c>
      <c r="H195" s="2">
        <v>1000000</v>
      </c>
      <c r="I195" t="str">
        <f>VLOOKUP(G195,'rozdělení obchodníků'!B:D,3, )</f>
        <v>Morava</v>
      </c>
    </row>
    <row r="196" spans="2:9" x14ac:dyDescent="0.25">
      <c r="B196" s="1">
        <v>45945</v>
      </c>
      <c r="C196">
        <v>20220013521</v>
      </c>
      <c r="D196" t="s">
        <v>85</v>
      </c>
      <c r="E196" t="s">
        <v>82</v>
      </c>
      <c r="F196" t="s">
        <v>77</v>
      </c>
      <c r="G196" t="s">
        <v>4</v>
      </c>
      <c r="H196" s="2">
        <v>1000000</v>
      </c>
      <c r="I196" t="str">
        <f>VLOOKUP(G196,'rozdělení obchodníků'!B:D,3, )</f>
        <v>Morava</v>
      </c>
    </row>
    <row r="197" spans="2:9" x14ac:dyDescent="0.25">
      <c r="B197" s="1">
        <v>45951</v>
      </c>
      <c r="C197">
        <v>20220013713</v>
      </c>
      <c r="D197" t="s">
        <v>85</v>
      </c>
      <c r="E197" t="s">
        <v>80</v>
      </c>
      <c r="F197" t="s">
        <v>77</v>
      </c>
      <c r="G197" t="s">
        <v>4</v>
      </c>
      <c r="H197" s="2">
        <v>600000</v>
      </c>
      <c r="I197" t="str">
        <f>VLOOKUP(G197,'rozdělení obchodníků'!B:D,3, )</f>
        <v>Morava</v>
      </c>
    </row>
    <row r="198" spans="2:9" x14ac:dyDescent="0.25">
      <c r="B198" s="1">
        <v>45954</v>
      </c>
      <c r="C198">
        <v>20220013830</v>
      </c>
      <c r="D198" t="s">
        <v>85</v>
      </c>
      <c r="E198" t="s">
        <v>81</v>
      </c>
      <c r="F198" t="s">
        <v>77</v>
      </c>
      <c r="G198" t="s">
        <v>4</v>
      </c>
      <c r="H198" s="2">
        <v>750000</v>
      </c>
      <c r="I198" t="str">
        <f>VLOOKUP(G198,'rozdělení obchodníků'!B:D,3, )</f>
        <v>Morava</v>
      </c>
    </row>
    <row r="199" spans="2:9" x14ac:dyDescent="0.25">
      <c r="B199" s="1">
        <v>45954</v>
      </c>
      <c r="C199">
        <v>20220013833</v>
      </c>
      <c r="D199" t="s">
        <v>85</v>
      </c>
      <c r="E199" t="s">
        <v>80</v>
      </c>
      <c r="F199" t="s">
        <v>77</v>
      </c>
      <c r="G199" t="s">
        <v>4</v>
      </c>
      <c r="H199" s="2">
        <v>1100000</v>
      </c>
      <c r="I199" t="str">
        <f>VLOOKUP(G199,'rozdělení obchodníků'!B:D,3, )</f>
        <v>Morava</v>
      </c>
    </row>
    <row r="200" spans="2:9" x14ac:dyDescent="0.25">
      <c r="B200" s="1">
        <v>45954</v>
      </c>
      <c r="C200">
        <v>20220013836</v>
      </c>
      <c r="D200" t="s">
        <v>85</v>
      </c>
      <c r="E200" t="s">
        <v>80</v>
      </c>
      <c r="F200" t="s">
        <v>77</v>
      </c>
      <c r="G200" t="s">
        <v>4</v>
      </c>
      <c r="H200" s="2">
        <v>100000</v>
      </c>
      <c r="I200" t="str">
        <f>VLOOKUP(G200,'rozdělení obchodníků'!B:D,3, )</f>
        <v>Morava</v>
      </c>
    </row>
    <row r="201" spans="2:9" x14ac:dyDescent="0.25">
      <c r="B201" s="1">
        <v>45958</v>
      </c>
      <c r="C201">
        <v>20220013926</v>
      </c>
      <c r="D201" t="s">
        <v>85</v>
      </c>
      <c r="E201" t="s">
        <v>80</v>
      </c>
      <c r="F201" t="s">
        <v>77</v>
      </c>
      <c r="G201" t="s">
        <v>4</v>
      </c>
      <c r="H201" s="2">
        <v>1200000</v>
      </c>
      <c r="I201" t="str">
        <f>VLOOKUP(G201,'rozdělení obchodníků'!B:D,3, )</f>
        <v>Morava</v>
      </c>
    </row>
    <row r="202" spans="2:9" x14ac:dyDescent="0.25">
      <c r="B202" s="1">
        <v>45958</v>
      </c>
      <c r="C202">
        <v>20220013932</v>
      </c>
      <c r="D202" t="s">
        <v>85</v>
      </c>
      <c r="E202" t="s">
        <v>80</v>
      </c>
      <c r="F202" t="s">
        <v>77</v>
      </c>
      <c r="G202" t="s">
        <v>4</v>
      </c>
      <c r="H202" s="2">
        <v>750000</v>
      </c>
      <c r="I202" t="str">
        <f>VLOOKUP(G202,'rozdělení obchodníků'!B:D,3, )</f>
        <v>Morava</v>
      </c>
    </row>
    <row r="203" spans="2:9" x14ac:dyDescent="0.25">
      <c r="B203" s="1">
        <v>45958</v>
      </c>
      <c r="C203">
        <v>20220013938</v>
      </c>
      <c r="D203" t="s">
        <v>85</v>
      </c>
      <c r="E203" t="s">
        <v>80</v>
      </c>
      <c r="F203" t="s">
        <v>77</v>
      </c>
      <c r="G203" t="s">
        <v>4</v>
      </c>
      <c r="H203" s="2">
        <v>1000000</v>
      </c>
      <c r="I203" t="str">
        <f>VLOOKUP(G203,'rozdělení obchodníků'!B:D,3, )</f>
        <v>Morava</v>
      </c>
    </row>
    <row r="204" spans="2:9" x14ac:dyDescent="0.25">
      <c r="B204" s="1">
        <v>45958</v>
      </c>
      <c r="C204">
        <v>20220013944</v>
      </c>
      <c r="D204" t="s">
        <v>85</v>
      </c>
      <c r="E204" t="s">
        <v>80</v>
      </c>
      <c r="F204" t="s">
        <v>77</v>
      </c>
      <c r="G204" t="s">
        <v>4</v>
      </c>
      <c r="H204" s="2">
        <v>750000</v>
      </c>
      <c r="I204" t="str">
        <f>VLOOKUP(G204,'rozdělení obchodníků'!B:D,3, )</f>
        <v>Morava</v>
      </c>
    </row>
    <row r="205" spans="2:9" x14ac:dyDescent="0.25">
      <c r="B205" s="1">
        <v>45958</v>
      </c>
      <c r="C205">
        <v>20220013950</v>
      </c>
      <c r="D205" t="s">
        <v>85</v>
      </c>
      <c r="E205" t="s">
        <v>80</v>
      </c>
      <c r="F205" t="s">
        <v>77</v>
      </c>
      <c r="G205" t="s">
        <v>4</v>
      </c>
      <c r="H205" s="2">
        <v>100000</v>
      </c>
      <c r="I205" t="str">
        <f>VLOOKUP(G205,'rozdělení obchodníků'!B:D,3, )</f>
        <v>Morava</v>
      </c>
    </row>
    <row r="206" spans="2:9" x14ac:dyDescent="0.25">
      <c r="B206" s="1">
        <v>45958</v>
      </c>
      <c r="C206">
        <v>20220013956</v>
      </c>
      <c r="D206" t="s">
        <v>85</v>
      </c>
      <c r="E206" t="s">
        <v>80</v>
      </c>
      <c r="F206" t="s">
        <v>77</v>
      </c>
      <c r="G206" t="s">
        <v>4</v>
      </c>
      <c r="H206" s="2">
        <v>2200000</v>
      </c>
      <c r="I206" t="str">
        <f>VLOOKUP(G206,'rozdělení obchodníků'!B:D,3, )</f>
        <v>Morava</v>
      </c>
    </row>
    <row r="207" spans="2:9" x14ac:dyDescent="0.25">
      <c r="B207" s="1">
        <v>45958</v>
      </c>
      <c r="C207">
        <v>20220013962</v>
      </c>
      <c r="D207" t="s">
        <v>85</v>
      </c>
      <c r="E207" t="s">
        <v>80</v>
      </c>
      <c r="F207" t="s">
        <v>77</v>
      </c>
      <c r="G207" t="s">
        <v>4</v>
      </c>
      <c r="H207" s="2">
        <v>100000</v>
      </c>
      <c r="I207" t="str">
        <f>VLOOKUP(G207,'rozdělení obchodníků'!B:D,3, )</f>
        <v>Morava</v>
      </c>
    </row>
    <row r="208" spans="2:9" x14ac:dyDescent="0.25">
      <c r="B208" s="1">
        <v>45958</v>
      </c>
      <c r="C208">
        <v>20220013974</v>
      </c>
      <c r="D208" t="s">
        <v>85</v>
      </c>
      <c r="E208" t="s">
        <v>80</v>
      </c>
      <c r="F208" t="s">
        <v>77</v>
      </c>
      <c r="G208" t="s">
        <v>4</v>
      </c>
      <c r="H208" s="2">
        <v>1000000</v>
      </c>
      <c r="I208" t="str">
        <f>VLOOKUP(G208,'rozdělení obchodníků'!B:D,3, )</f>
        <v>Morava</v>
      </c>
    </row>
    <row r="209" spans="2:9" x14ac:dyDescent="0.25">
      <c r="B209" s="1">
        <v>45934</v>
      </c>
      <c r="C209">
        <v>20220012744</v>
      </c>
      <c r="D209" t="s">
        <v>85</v>
      </c>
      <c r="E209" t="s">
        <v>81</v>
      </c>
      <c r="F209" t="s">
        <v>77</v>
      </c>
      <c r="G209" t="s">
        <v>6</v>
      </c>
      <c r="H209" s="2">
        <v>100000</v>
      </c>
      <c r="I209" t="str">
        <f>VLOOKUP(G209,'rozdělení obchodníků'!B:D,3, )</f>
        <v>Praha</v>
      </c>
    </row>
    <row r="210" spans="2:9" x14ac:dyDescent="0.25">
      <c r="B210" s="1">
        <v>45934</v>
      </c>
      <c r="C210">
        <v>20220012759</v>
      </c>
      <c r="D210" t="s">
        <v>85</v>
      </c>
      <c r="E210" t="s">
        <v>81</v>
      </c>
      <c r="F210" t="s">
        <v>77</v>
      </c>
      <c r="G210" t="s">
        <v>6</v>
      </c>
      <c r="H210" s="2">
        <v>250000</v>
      </c>
      <c r="I210" t="str">
        <f>VLOOKUP(G210,'rozdělení obchodníků'!B:D,3, )</f>
        <v>Praha</v>
      </c>
    </row>
    <row r="211" spans="2:9" x14ac:dyDescent="0.25">
      <c r="B211" s="1">
        <v>45934</v>
      </c>
      <c r="C211">
        <v>20220012762</v>
      </c>
      <c r="D211" t="s">
        <v>85</v>
      </c>
      <c r="E211" t="s">
        <v>81</v>
      </c>
      <c r="F211" t="s">
        <v>77</v>
      </c>
      <c r="G211" t="s">
        <v>6</v>
      </c>
      <c r="H211" s="2">
        <v>250000</v>
      </c>
      <c r="I211" t="str">
        <f>VLOOKUP(G211,'rozdělení obchodníků'!B:D,3, )</f>
        <v>Praha</v>
      </c>
    </row>
    <row r="212" spans="2:9" x14ac:dyDescent="0.25">
      <c r="B212" s="1">
        <v>45934</v>
      </c>
      <c r="C212">
        <v>20220012777</v>
      </c>
      <c r="D212" t="s">
        <v>85</v>
      </c>
      <c r="E212" t="s">
        <v>80</v>
      </c>
      <c r="F212" t="s">
        <v>77</v>
      </c>
      <c r="G212" t="s">
        <v>6</v>
      </c>
      <c r="H212" s="2">
        <v>600000</v>
      </c>
      <c r="I212" t="str">
        <f>VLOOKUP(G212,'rozdělení obchodníků'!B:D,3, )</f>
        <v>Praha</v>
      </c>
    </row>
    <row r="213" spans="2:9" x14ac:dyDescent="0.25">
      <c r="B213" s="1">
        <v>45934</v>
      </c>
      <c r="C213">
        <v>20220012780</v>
      </c>
      <c r="D213" t="s">
        <v>85</v>
      </c>
      <c r="E213" t="s">
        <v>80</v>
      </c>
      <c r="F213" t="s">
        <v>77</v>
      </c>
      <c r="G213" t="s">
        <v>6</v>
      </c>
      <c r="H213" s="2">
        <v>600000</v>
      </c>
      <c r="I213" t="str">
        <f>VLOOKUP(G213,'rozdělení obchodníků'!B:D,3, )</f>
        <v>Praha</v>
      </c>
    </row>
    <row r="214" spans="2:9" x14ac:dyDescent="0.25">
      <c r="B214" s="1">
        <v>45934</v>
      </c>
      <c r="C214">
        <v>20220012843</v>
      </c>
      <c r="D214" t="s">
        <v>85</v>
      </c>
      <c r="E214" t="s">
        <v>80</v>
      </c>
      <c r="F214" t="s">
        <v>77</v>
      </c>
      <c r="G214" t="s">
        <v>6</v>
      </c>
      <c r="H214" s="2">
        <v>1250000</v>
      </c>
      <c r="I214" t="str">
        <f>VLOOKUP(G214,'rozdělení obchodníků'!B:D,3, )</f>
        <v>Praha</v>
      </c>
    </row>
    <row r="215" spans="2:9" x14ac:dyDescent="0.25">
      <c r="B215" s="1">
        <v>45934</v>
      </c>
      <c r="C215">
        <v>20220012846</v>
      </c>
      <c r="D215" t="s">
        <v>85</v>
      </c>
      <c r="E215" t="s">
        <v>80</v>
      </c>
      <c r="F215" t="s">
        <v>77</v>
      </c>
      <c r="G215" t="s">
        <v>6</v>
      </c>
      <c r="H215" s="2">
        <v>250000</v>
      </c>
      <c r="I215" t="str">
        <f>VLOOKUP(G215,'rozdělení obchodníků'!B:D,3, )</f>
        <v>Praha</v>
      </c>
    </row>
    <row r="216" spans="2:9" x14ac:dyDescent="0.25">
      <c r="B216" s="1">
        <v>45934</v>
      </c>
      <c r="C216">
        <v>20220012891</v>
      </c>
      <c r="D216" t="s">
        <v>85</v>
      </c>
      <c r="E216" t="s">
        <v>82</v>
      </c>
      <c r="F216" t="s">
        <v>77</v>
      </c>
      <c r="G216" t="s">
        <v>6</v>
      </c>
      <c r="H216" s="2">
        <v>1500000</v>
      </c>
      <c r="I216" t="str">
        <f>VLOOKUP(G216,'rozdělení obchodníků'!B:D,3, )</f>
        <v>Praha</v>
      </c>
    </row>
    <row r="217" spans="2:9" x14ac:dyDescent="0.25">
      <c r="B217" s="1">
        <v>45934</v>
      </c>
      <c r="C217">
        <v>20220012894</v>
      </c>
      <c r="D217" t="s">
        <v>85</v>
      </c>
      <c r="E217" t="s">
        <v>82</v>
      </c>
      <c r="F217" t="s">
        <v>77</v>
      </c>
      <c r="G217" t="s">
        <v>6</v>
      </c>
      <c r="H217" s="2">
        <v>100000</v>
      </c>
      <c r="I217" t="str">
        <f>VLOOKUP(G217,'rozdělení obchodníků'!B:D,3, )</f>
        <v>Praha</v>
      </c>
    </row>
    <row r="218" spans="2:9" x14ac:dyDescent="0.25">
      <c r="B218" s="1">
        <v>45937</v>
      </c>
      <c r="C218">
        <v>20220013095</v>
      </c>
      <c r="D218" t="s">
        <v>85</v>
      </c>
      <c r="E218" t="s">
        <v>82</v>
      </c>
      <c r="F218" t="s">
        <v>77</v>
      </c>
      <c r="G218" t="s">
        <v>6</v>
      </c>
      <c r="H218" s="2">
        <v>100000</v>
      </c>
      <c r="I218" t="str">
        <f>VLOOKUP(G218,'rozdělení obchodníků'!B:D,3, )</f>
        <v>Praha</v>
      </c>
    </row>
    <row r="219" spans="2:9" x14ac:dyDescent="0.25">
      <c r="B219" s="1">
        <v>45937</v>
      </c>
      <c r="C219">
        <v>20220013104</v>
      </c>
      <c r="D219" t="s">
        <v>85</v>
      </c>
      <c r="E219" t="s">
        <v>80</v>
      </c>
      <c r="F219" t="s">
        <v>77</v>
      </c>
      <c r="G219" t="s">
        <v>6</v>
      </c>
      <c r="H219" s="2">
        <v>750000</v>
      </c>
      <c r="I219" t="str">
        <f>VLOOKUP(G219,'rozdělení obchodníků'!B:D,3, )</f>
        <v>Praha</v>
      </c>
    </row>
    <row r="220" spans="2:9" x14ac:dyDescent="0.25">
      <c r="B220" s="1">
        <v>45937</v>
      </c>
      <c r="C220">
        <v>20220013107</v>
      </c>
      <c r="D220" t="s">
        <v>85</v>
      </c>
      <c r="E220" t="s">
        <v>80</v>
      </c>
      <c r="F220" t="s">
        <v>77</v>
      </c>
      <c r="G220" t="s">
        <v>6</v>
      </c>
      <c r="H220" s="2">
        <v>750000</v>
      </c>
      <c r="I220" t="str">
        <f>VLOOKUP(G220,'rozdělení obchodníků'!B:D,3, )</f>
        <v>Praha</v>
      </c>
    </row>
    <row r="221" spans="2:9" x14ac:dyDescent="0.25">
      <c r="B221" s="1">
        <v>45938</v>
      </c>
      <c r="C221">
        <v>20220013239</v>
      </c>
      <c r="D221" t="s">
        <v>85</v>
      </c>
      <c r="E221" t="s">
        <v>81</v>
      </c>
      <c r="F221" t="s">
        <v>77</v>
      </c>
      <c r="G221" t="s">
        <v>6</v>
      </c>
      <c r="H221" s="2">
        <v>100000</v>
      </c>
      <c r="I221" t="str">
        <f>VLOOKUP(G221,'rozdělení obchodníků'!B:D,3, )</f>
        <v>Praha</v>
      </c>
    </row>
    <row r="222" spans="2:9" x14ac:dyDescent="0.25">
      <c r="B222" s="1">
        <v>45938</v>
      </c>
      <c r="C222">
        <v>20220013248</v>
      </c>
      <c r="D222" t="s">
        <v>85</v>
      </c>
      <c r="E222" t="s">
        <v>81</v>
      </c>
      <c r="F222" t="s">
        <v>77</v>
      </c>
      <c r="G222" t="s">
        <v>6</v>
      </c>
      <c r="H222" s="2">
        <v>750000</v>
      </c>
      <c r="I222" t="str">
        <f>VLOOKUP(G222,'rozdělení obchodníků'!B:D,3, )</f>
        <v>Praha</v>
      </c>
    </row>
    <row r="223" spans="2:9" x14ac:dyDescent="0.25">
      <c r="B223" s="1">
        <v>45938</v>
      </c>
      <c r="C223">
        <v>20220013266</v>
      </c>
      <c r="D223" t="s">
        <v>85</v>
      </c>
      <c r="E223" t="s">
        <v>81</v>
      </c>
      <c r="F223" t="s">
        <v>77</v>
      </c>
      <c r="G223" t="s">
        <v>6</v>
      </c>
      <c r="H223" s="2">
        <v>100000</v>
      </c>
      <c r="I223" t="str">
        <f>VLOOKUP(G223,'rozdělení obchodníků'!B:D,3, )</f>
        <v>Praha</v>
      </c>
    </row>
    <row r="224" spans="2:9" x14ac:dyDescent="0.25">
      <c r="B224" s="1">
        <v>45938</v>
      </c>
      <c r="C224">
        <v>20220013275</v>
      </c>
      <c r="D224" t="s">
        <v>85</v>
      </c>
      <c r="E224" t="s">
        <v>81</v>
      </c>
      <c r="F224" t="s">
        <v>77</v>
      </c>
      <c r="G224" t="s">
        <v>6</v>
      </c>
      <c r="H224" s="2">
        <v>750000</v>
      </c>
      <c r="I224" t="str">
        <f>VLOOKUP(G224,'rozdělení obchodníků'!B:D,3, )</f>
        <v>Praha</v>
      </c>
    </row>
    <row r="225" spans="2:9" x14ac:dyDescent="0.25">
      <c r="B225" s="1">
        <v>45943</v>
      </c>
      <c r="C225">
        <v>20220013446</v>
      </c>
      <c r="D225" t="s">
        <v>85</v>
      </c>
      <c r="E225" t="s">
        <v>82</v>
      </c>
      <c r="F225" t="s">
        <v>77</v>
      </c>
      <c r="G225" t="s">
        <v>6</v>
      </c>
      <c r="H225" s="2">
        <v>100000</v>
      </c>
      <c r="I225" t="str">
        <f>VLOOKUP(G225,'rozdělení obchodníků'!B:D,3, )</f>
        <v>Praha</v>
      </c>
    </row>
    <row r="226" spans="2:9" x14ac:dyDescent="0.25">
      <c r="B226" s="1">
        <v>45944</v>
      </c>
      <c r="C226">
        <v>20220013473</v>
      </c>
      <c r="D226" t="s">
        <v>85</v>
      </c>
      <c r="E226" t="s">
        <v>80</v>
      </c>
      <c r="F226" t="s">
        <v>77</v>
      </c>
      <c r="G226" t="s">
        <v>6</v>
      </c>
      <c r="H226" s="2">
        <v>100000</v>
      </c>
      <c r="I226" t="str">
        <f>VLOOKUP(G226,'rozdělení obchodníků'!B:D,3, )</f>
        <v>Praha</v>
      </c>
    </row>
    <row r="227" spans="2:9" x14ac:dyDescent="0.25">
      <c r="B227" s="1">
        <v>45944</v>
      </c>
      <c r="C227">
        <v>20220013476</v>
      </c>
      <c r="D227" t="s">
        <v>85</v>
      </c>
      <c r="E227" t="s">
        <v>80</v>
      </c>
      <c r="F227" t="s">
        <v>77</v>
      </c>
      <c r="G227" t="s">
        <v>6</v>
      </c>
      <c r="H227" s="2">
        <v>100000</v>
      </c>
      <c r="I227" t="str">
        <f>VLOOKUP(G227,'rozdělení obchodníků'!B:D,3, )</f>
        <v>Praha</v>
      </c>
    </row>
    <row r="228" spans="2:9" x14ac:dyDescent="0.25">
      <c r="B228" s="1">
        <v>45944</v>
      </c>
      <c r="C228">
        <v>20220013500</v>
      </c>
      <c r="D228" t="s">
        <v>85</v>
      </c>
      <c r="E228" t="s">
        <v>80</v>
      </c>
      <c r="F228" t="s">
        <v>77</v>
      </c>
      <c r="G228" t="s">
        <v>6</v>
      </c>
      <c r="H228" s="2">
        <v>750000</v>
      </c>
      <c r="I228" t="str">
        <f>VLOOKUP(G228,'rozdělení obchodníků'!B:D,3, )</f>
        <v>Praha</v>
      </c>
    </row>
    <row r="229" spans="2:9" x14ac:dyDescent="0.25">
      <c r="B229" s="1">
        <v>45960</v>
      </c>
      <c r="C229">
        <v>20220013989</v>
      </c>
      <c r="D229" t="s">
        <v>85</v>
      </c>
      <c r="E229" t="s">
        <v>81</v>
      </c>
      <c r="F229" t="s">
        <v>77</v>
      </c>
      <c r="G229" t="s">
        <v>6</v>
      </c>
      <c r="H229" s="2">
        <v>100000</v>
      </c>
      <c r="I229" t="str">
        <f>VLOOKUP(G229,'rozdělení obchodníků'!B:D,3, )</f>
        <v>Praha</v>
      </c>
    </row>
    <row r="230" spans="2:9" x14ac:dyDescent="0.25">
      <c r="B230" s="1">
        <v>45933</v>
      </c>
      <c r="C230">
        <v>20220012711</v>
      </c>
      <c r="D230" t="s">
        <v>85</v>
      </c>
      <c r="E230" t="s">
        <v>81</v>
      </c>
      <c r="F230" t="s">
        <v>77</v>
      </c>
      <c r="G230" t="s">
        <v>7</v>
      </c>
      <c r="H230" s="2">
        <v>100000</v>
      </c>
      <c r="I230" t="str">
        <f>VLOOKUP(G230,'rozdělení obchodníků'!B:D,3, )</f>
        <v>Praha</v>
      </c>
    </row>
    <row r="231" spans="2:9" x14ac:dyDescent="0.25">
      <c r="B231" s="1">
        <v>45934</v>
      </c>
      <c r="C231">
        <v>20220012747</v>
      </c>
      <c r="D231" t="s">
        <v>85</v>
      </c>
      <c r="E231" t="s">
        <v>82</v>
      </c>
      <c r="F231" t="s">
        <v>77</v>
      </c>
      <c r="G231" t="s">
        <v>7</v>
      </c>
      <c r="H231" s="2">
        <v>500000</v>
      </c>
      <c r="I231" t="str">
        <f>VLOOKUP(G231,'rozdělení obchodníků'!B:D,3, )</f>
        <v>Praha</v>
      </c>
    </row>
    <row r="232" spans="2:9" x14ac:dyDescent="0.25">
      <c r="B232" s="1">
        <v>45934</v>
      </c>
      <c r="C232">
        <v>20220012750</v>
      </c>
      <c r="D232" t="s">
        <v>85</v>
      </c>
      <c r="E232" t="s">
        <v>82</v>
      </c>
      <c r="F232" t="s">
        <v>77</v>
      </c>
      <c r="G232" t="s">
        <v>7</v>
      </c>
      <c r="H232" s="2">
        <v>100000</v>
      </c>
      <c r="I232" t="str">
        <f>VLOOKUP(G232,'rozdělení obchodníků'!B:D,3, )</f>
        <v>Praha</v>
      </c>
    </row>
    <row r="233" spans="2:9" x14ac:dyDescent="0.25">
      <c r="B233" s="1">
        <v>45934</v>
      </c>
      <c r="C233">
        <v>20220012753</v>
      </c>
      <c r="D233" t="s">
        <v>85</v>
      </c>
      <c r="E233" t="s">
        <v>81</v>
      </c>
      <c r="F233" t="s">
        <v>77</v>
      </c>
      <c r="G233" t="s">
        <v>7</v>
      </c>
      <c r="H233" s="2">
        <v>600000</v>
      </c>
      <c r="I233" t="str">
        <f>VLOOKUP(G233,'rozdělení obchodníků'!B:D,3, )</f>
        <v>Praha</v>
      </c>
    </row>
    <row r="234" spans="2:9" x14ac:dyDescent="0.25">
      <c r="B234" s="1">
        <v>45938</v>
      </c>
      <c r="C234">
        <v>20220013161</v>
      </c>
      <c r="D234" t="s">
        <v>85</v>
      </c>
      <c r="E234" t="s">
        <v>82</v>
      </c>
      <c r="F234" t="s">
        <v>77</v>
      </c>
      <c r="G234" t="s">
        <v>7</v>
      </c>
      <c r="H234" s="2">
        <v>750000</v>
      </c>
      <c r="I234" t="str">
        <f>VLOOKUP(G234,'rozdělení obchodníků'!B:D,3, )</f>
        <v>Praha</v>
      </c>
    </row>
    <row r="235" spans="2:9" x14ac:dyDescent="0.25">
      <c r="B235" s="1">
        <v>45938</v>
      </c>
      <c r="C235">
        <v>20220013299</v>
      </c>
      <c r="D235" t="s">
        <v>85</v>
      </c>
      <c r="E235" t="s">
        <v>81</v>
      </c>
      <c r="F235" t="s">
        <v>77</v>
      </c>
      <c r="G235" t="s">
        <v>7</v>
      </c>
      <c r="H235" s="2">
        <v>750000</v>
      </c>
      <c r="I235" t="str">
        <f>VLOOKUP(G235,'rozdělení obchodníků'!B:D,3, )</f>
        <v>Praha</v>
      </c>
    </row>
    <row r="236" spans="2:9" x14ac:dyDescent="0.25">
      <c r="B236" s="1">
        <v>45940</v>
      </c>
      <c r="C236">
        <v>20220013371</v>
      </c>
      <c r="D236" t="s">
        <v>85</v>
      </c>
      <c r="E236" t="s">
        <v>81</v>
      </c>
      <c r="F236" t="s">
        <v>77</v>
      </c>
      <c r="G236" t="s">
        <v>7</v>
      </c>
      <c r="H236" s="2">
        <v>100000</v>
      </c>
      <c r="I236" t="str">
        <f>VLOOKUP(G236,'rozdělení obchodníků'!B:D,3, )</f>
        <v>Praha</v>
      </c>
    </row>
    <row r="237" spans="2:9" x14ac:dyDescent="0.25">
      <c r="B237" s="1">
        <v>45942</v>
      </c>
      <c r="C237">
        <v>20220013443</v>
      </c>
      <c r="D237" t="s">
        <v>85</v>
      </c>
      <c r="E237" t="s">
        <v>80</v>
      </c>
      <c r="F237" t="s">
        <v>77</v>
      </c>
      <c r="G237" t="s">
        <v>7</v>
      </c>
      <c r="H237" s="2">
        <v>750000</v>
      </c>
      <c r="I237" t="str">
        <f>VLOOKUP(G237,'rozdělení obchodníků'!B:D,3, )</f>
        <v>Praha</v>
      </c>
    </row>
    <row r="238" spans="2:9" x14ac:dyDescent="0.25">
      <c r="B238" s="1">
        <v>45932</v>
      </c>
      <c r="C238">
        <v>20220012582</v>
      </c>
      <c r="D238" t="s">
        <v>85</v>
      </c>
      <c r="E238" t="s">
        <v>80</v>
      </c>
      <c r="F238" t="s">
        <v>77</v>
      </c>
      <c r="G238" t="s">
        <v>8</v>
      </c>
      <c r="H238" s="2">
        <v>2000000</v>
      </c>
      <c r="I238" t="str">
        <f>VLOOKUP(G238,'rozdělení obchodníků'!B:D,3, )</f>
        <v>Praha</v>
      </c>
    </row>
    <row r="239" spans="2:9" x14ac:dyDescent="0.25">
      <c r="B239" s="1">
        <v>45932</v>
      </c>
      <c r="C239">
        <v>20220012606</v>
      </c>
      <c r="D239" t="s">
        <v>85</v>
      </c>
      <c r="E239" t="s">
        <v>80</v>
      </c>
      <c r="F239" t="s">
        <v>77</v>
      </c>
      <c r="G239" t="s">
        <v>8</v>
      </c>
      <c r="H239" s="2">
        <v>100000</v>
      </c>
      <c r="I239" t="str">
        <f>VLOOKUP(G239,'rozdělení obchodníků'!B:D,3, )</f>
        <v>Praha</v>
      </c>
    </row>
    <row r="240" spans="2:9" x14ac:dyDescent="0.25">
      <c r="B240" s="1">
        <v>45932</v>
      </c>
      <c r="C240">
        <v>20220012657</v>
      </c>
      <c r="D240" t="s">
        <v>85</v>
      </c>
      <c r="E240" t="s">
        <v>81</v>
      </c>
      <c r="F240" t="s">
        <v>77</v>
      </c>
      <c r="G240" t="s">
        <v>8</v>
      </c>
      <c r="H240" s="2">
        <v>100000</v>
      </c>
      <c r="I240" t="str">
        <f>VLOOKUP(G240,'rozdělení obchodníků'!B:D,3, )</f>
        <v>Praha</v>
      </c>
    </row>
    <row r="241" spans="2:9" x14ac:dyDescent="0.25">
      <c r="B241" s="1">
        <v>45932</v>
      </c>
      <c r="C241">
        <v>20220012660</v>
      </c>
      <c r="D241" t="s">
        <v>85</v>
      </c>
      <c r="E241" t="s">
        <v>81</v>
      </c>
      <c r="F241" t="s">
        <v>77</v>
      </c>
      <c r="G241" t="s">
        <v>8</v>
      </c>
      <c r="H241" s="2">
        <v>100000</v>
      </c>
      <c r="I241" t="str">
        <f>VLOOKUP(G241,'rozdělení obchodníků'!B:D,3, )</f>
        <v>Praha</v>
      </c>
    </row>
    <row r="242" spans="2:9" x14ac:dyDescent="0.25">
      <c r="B242" s="1">
        <v>45933</v>
      </c>
      <c r="C242">
        <v>20220012717</v>
      </c>
      <c r="D242" t="s">
        <v>85</v>
      </c>
      <c r="E242" t="s">
        <v>82</v>
      </c>
      <c r="F242" t="s">
        <v>77</v>
      </c>
      <c r="G242" t="s">
        <v>8</v>
      </c>
      <c r="H242" s="2">
        <v>600000</v>
      </c>
      <c r="I242" t="str">
        <f>VLOOKUP(G242,'rozdělení obchodníků'!B:D,3, )</f>
        <v>Praha</v>
      </c>
    </row>
    <row r="243" spans="2:9" x14ac:dyDescent="0.25">
      <c r="B243" s="1">
        <v>45933</v>
      </c>
      <c r="C243">
        <v>20220012720</v>
      </c>
      <c r="D243" t="s">
        <v>85</v>
      </c>
      <c r="E243" t="s">
        <v>82</v>
      </c>
      <c r="F243" t="s">
        <v>77</v>
      </c>
      <c r="G243" t="s">
        <v>8</v>
      </c>
      <c r="H243" s="2">
        <v>600000</v>
      </c>
      <c r="I243" t="str">
        <f>VLOOKUP(G243,'rozdělení obchodníků'!B:D,3, )</f>
        <v>Praha</v>
      </c>
    </row>
    <row r="244" spans="2:9" x14ac:dyDescent="0.25">
      <c r="B244" s="1">
        <v>45933</v>
      </c>
      <c r="C244">
        <v>20220012729</v>
      </c>
      <c r="D244" t="s">
        <v>85</v>
      </c>
      <c r="E244" t="s">
        <v>82</v>
      </c>
      <c r="F244" t="s">
        <v>77</v>
      </c>
      <c r="G244" t="s">
        <v>8</v>
      </c>
      <c r="H244" s="2">
        <v>100000</v>
      </c>
      <c r="I244" t="str">
        <f>VLOOKUP(G244,'rozdělení obchodníků'!B:D,3, )</f>
        <v>Praha</v>
      </c>
    </row>
    <row r="245" spans="2:9" x14ac:dyDescent="0.25">
      <c r="B245" s="1">
        <v>45934</v>
      </c>
      <c r="C245">
        <v>20220012783</v>
      </c>
      <c r="D245" t="s">
        <v>85</v>
      </c>
      <c r="E245" t="s">
        <v>82</v>
      </c>
      <c r="F245" t="s">
        <v>77</v>
      </c>
      <c r="G245" t="s">
        <v>8</v>
      </c>
      <c r="H245" s="2">
        <v>1000000</v>
      </c>
      <c r="I245" t="str">
        <f>VLOOKUP(G245,'rozdělení obchodníků'!B:D,3, )</f>
        <v>Praha</v>
      </c>
    </row>
    <row r="246" spans="2:9" x14ac:dyDescent="0.25">
      <c r="B246" s="1">
        <v>45934</v>
      </c>
      <c r="C246">
        <v>20220012786</v>
      </c>
      <c r="D246" t="s">
        <v>85</v>
      </c>
      <c r="E246" t="s">
        <v>82</v>
      </c>
      <c r="F246" t="s">
        <v>77</v>
      </c>
      <c r="G246" t="s">
        <v>8</v>
      </c>
      <c r="H246" s="2">
        <v>100000</v>
      </c>
      <c r="I246" t="str">
        <f>VLOOKUP(G246,'rozdělení obchodníků'!B:D,3, )</f>
        <v>Praha</v>
      </c>
    </row>
    <row r="247" spans="2:9" x14ac:dyDescent="0.25">
      <c r="B247" s="1">
        <v>45934</v>
      </c>
      <c r="C247">
        <v>20220012804</v>
      </c>
      <c r="D247" t="s">
        <v>85</v>
      </c>
      <c r="E247" t="s">
        <v>82</v>
      </c>
      <c r="F247" t="s">
        <v>77</v>
      </c>
      <c r="G247" t="s">
        <v>8</v>
      </c>
      <c r="H247" s="2">
        <v>500000</v>
      </c>
      <c r="I247" t="str">
        <f>VLOOKUP(G247,'rozdělení obchodníků'!B:D,3, )</f>
        <v>Praha</v>
      </c>
    </row>
    <row r="248" spans="2:9" x14ac:dyDescent="0.25">
      <c r="B248" s="1">
        <v>45938</v>
      </c>
      <c r="C248">
        <v>20220013176</v>
      </c>
      <c r="D248" t="s">
        <v>85</v>
      </c>
      <c r="E248" t="s">
        <v>80</v>
      </c>
      <c r="F248" t="s">
        <v>77</v>
      </c>
      <c r="G248" t="s">
        <v>8</v>
      </c>
      <c r="H248" s="2">
        <v>1000000</v>
      </c>
      <c r="I248" t="str">
        <f>VLOOKUP(G248,'rozdělení obchodníků'!B:D,3, )</f>
        <v>Praha</v>
      </c>
    </row>
    <row r="249" spans="2:9" x14ac:dyDescent="0.25">
      <c r="B249" s="1">
        <v>45940</v>
      </c>
      <c r="C249">
        <v>20220013377</v>
      </c>
      <c r="D249" t="s">
        <v>85</v>
      </c>
      <c r="E249" t="s">
        <v>81</v>
      </c>
      <c r="F249" t="s">
        <v>77</v>
      </c>
      <c r="G249" t="s">
        <v>8</v>
      </c>
      <c r="H249" s="2">
        <v>750000</v>
      </c>
      <c r="I249" t="str">
        <f>VLOOKUP(G249,'rozdělení obchodníků'!B:D,3, )</f>
        <v>Praha</v>
      </c>
    </row>
    <row r="250" spans="2:9" x14ac:dyDescent="0.25">
      <c r="B250" s="1">
        <v>45940</v>
      </c>
      <c r="C250">
        <v>20220013383</v>
      </c>
      <c r="D250" t="s">
        <v>85</v>
      </c>
      <c r="E250" t="s">
        <v>80</v>
      </c>
      <c r="F250" t="s">
        <v>77</v>
      </c>
      <c r="G250" t="s">
        <v>8</v>
      </c>
      <c r="H250" s="2">
        <v>100000</v>
      </c>
      <c r="I250" t="str">
        <f>VLOOKUP(G250,'rozdělení obchodníků'!B:D,3, )</f>
        <v>Praha</v>
      </c>
    </row>
    <row r="251" spans="2:9" x14ac:dyDescent="0.25">
      <c r="B251" s="1">
        <v>45942</v>
      </c>
      <c r="C251">
        <v>20220013413</v>
      </c>
      <c r="D251" t="s">
        <v>85</v>
      </c>
      <c r="E251" t="s">
        <v>81</v>
      </c>
      <c r="F251" t="s">
        <v>77</v>
      </c>
      <c r="G251" t="s">
        <v>8</v>
      </c>
      <c r="H251" s="2">
        <v>100000</v>
      </c>
      <c r="I251" t="str">
        <f>VLOOKUP(G251,'rozdělení obchodníků'!B:D,3, )</f>
        <v>Praha</v>
      </c>
    </row>
    <row r="252" spans="2:9" x14ac:dyDescent="0.25">
      <c r="B252" s="1">
        <v>45942</v>
      </c>
      <c r="C252">
        <v>20220013425</v>
      </c>
      <c r="D252" t="s">
        <v>85</v>
      </c>
      <c r="E252" t="s">
        <v>81</v>
      </c>
      <c r="F252" t="s">
        <v>77</v>
      </c>
      <c r="G252" t="s">
        <v>8</v>
      </c>
      <c r="H252" s="2">
        <v>1000000</v>
      </c>
      <c r="I252" t="str">
        <f>VLOOKUP(G252,'rozdělení obchodníků'!B:D,3, )</f>
        <v>Praha</v>
      </c>
    </row>
    <row r="253" spans="2:9" x14ac:dyDescent="0.25">
      <c r="B253" s="1">
        <v>45943</v>
      </c>
      <c r="C253">
        <v>20220013452</v>
      </c>
      <c r="D253" t="s">
        <v>85</v>
      </c>
      <c r="E253" t="s">
        <v>80</v>
      </c>
      <c r="F253" t="s">
        <v>77</v>
      </c>
      <c r="G253" t="s">
        <v>8</v>
      </c>
      <c r="H253" s="2">
        <v>100000</v>
      </c>
      <c r="I253" t="str">
        <f>VLOOKUP(G253,'rozdělení obchodníků'!B:D,3, )</f>
        <v>Praha</v>
      </c>
    </row>
    <row r="254" spans="2:9" x14ac:dyDescent="0.25">
      <c r="B254" s="1">
        <v>45943</v>
      </c>
      <c r="C254">
        <v>20220013461</v>
      </c>
      <c r="D254" t="s">
        <v>85</v>
      </c>
      <c r="E254" t="s">
        <v>80</v>
      </c>
      <c r="F254" t="s">
        <v>77</v>
      </c>
      <c r="G254" t="s">
        <v>8</v>
      </c>
      <c r="H254" s="2">
        <v>100000</v>
      </c>
      <c r="I254" t="str">
        <f>VLOOKUP(G254,'rozdělení obchodníků'!B:D,3, )</f>
        <v>Praha</v>
      </c>
    </row>
    <row r="255" spans="2:9" x14ac:dyDescent="0.25">
      <c r="B255" s="1">
        <v>45944</v>
      </c>
      <c r="C255">
        <v>20220013464</v>
      </c>
      <c r="D255" t="s">
        <v>85</v>
      </c>
      <c r="E255" t="s">
        <v>82</v>
      </c>
      <c r="F255" t="s">
        <v>77</v>
      </c>
      <c r="G255" t="s">
        <v>8</v>
      </c>
      <c r="H255" s="2">
        <v>100000</v>
      </c>
      <c r="I255" t="str">
        <f>VLOOKUP(G255,'rozdělení obchodníků'!B:D,3, )</f>
        <v>Praha</v>
      </c>
    </row>
    <row r="256" spans="2:9" x14ac:dyDescent="0.25">
      <c r="B256" s="1">
        <v>45944</v>
      </c>
      <c r="C256">
        <v>20220013479</v>
      </c>
      <c r="D256" t="s">
        <v>85</v>
      </c>
      <c r="E256" t="s">
        <v>80</v>
      </c>
      <c r="F256" t="s">
        <v>77</v>
      </c>
      <c r="G256" t="s">
        <v>8</v>
      </c>
      <c r="H256" s="2">
        <v>100000</v>
      </c>
      <c r="I256" t="str">
        <f>VLOOKUP(G256,'rozdělení obchodníků'!B:D,3, )</f>
        <v>Praha</v>
      </c>
    </row>
    <row r="257" spans="2:9" x14ac:dyDescent="0.25">
      <c r="B257" s="1">
        <v>45944</v>
      </c>
      <c r="C257">
        <v>20220013482</v>
      </c>
      <c r="D257" t="s">
        <v>85</v>
      </c>
      <c r="E257" t="s">
        <v>80</v>
      </c>
      <c r="F257" t="s">
        <v>77</v>
      </c>
      <c r="G257" t="s">
        <v>8</v>
      </c>
      <c r="H257" s="2">
        <v>750000</v>
      </c>
      <c r="I257" t="str">
        <f>VLOOKUP(G257,'rozdělení obchodníků'!B:D,3, )</f>
        <v>Praha</v>
      </c>
    </row>
    <row r="258" spans="2:9" x14ac:dyDescent="0.25">
      <c r="B258" s="1">
        <v>45944</v>
      </c>
      <c r="C258">
        <v>20220013497</v>
      </c>
      <c r="D258" t="s">
        <v>85</v>
      </c>
      <c r="E258" t="s">
        <v>80</v>
      </c>
      <c r="F258" t="s">
        <v>77</v>
      </c>
      <c r="G258" t="s">
        <v>8</v>
      </c>
      <c r="H258" s="2">
        <v>750000</v>
      </c>
      <c r="I258" t="str">
        <f>VLOOKUP(G258,'rozdělení obchodníků'!B:D,3, )</f>
        <v>Praha</v>
      </c>
    </row>
    <row r="259" spans="2:9" x14ac:dyDescent="0.25">
      <c r="B259" s="1">
        <v>45944</v>
      </c>
      <c r="C259">
        <v>20220013506</v>
      </c>
      <c r="D259" t="s">
        <v>85</v>
      </c>
      <c r="E259" t="s">
        <v>80</v>
      </c>
      <c r="F259" t="s">
        <v>77</v>
      </c>
      <c r="G259" t="s">
        <v>8</v>
      </c>
      <c r="H259" s="2">
        <v>100000</v>
      </c>
      <c r="I259" t="str">
        <f>VLOOKUP(G259,'rozdělení obchodníků'!B:D,3, )</f>
        <v>Praha</v>
      </c>
    </row>
    <row r="260" spans="2:9" x14ac:dyDescent="0.25">
      <c r="B260" s="1">
        <v>45949</v>
      </c>
      <c r="C260">
        <v>20220013632</v>
      </c>
      <c r="D260" t="s">
        <v>85</v>
      </c>
      <c r="E260" t="s">
        <v>80</v>
      </c>
      <c r="F260" t="s">
        <v>77</v>
      </c>
      <c r="G260" t="s">
        <v>8</v>
      </c>
      <c r="H260" s="2">
        <v>100000</v>
      </c>
      <c r="I260" t="str">
        <f>VLOOKUP(G260,'rozdělení obchodníků'!B:D,3, )</f>
        <v>Praha</v>
      </c>
    </row>
    <row r="261" spans="2:9" x14ac:dyDescent="0.25">
      <c r="B261" s="1">
        <v>45949</v>
      </c>
      <c r="C261">
        <v>20220013638</v>
      </c>
      <c r="D261" t="s">
        <v>85</v>
      </c>
      <c r="E261" t="s">
        <v>80</v>
      </c>
      <c r="F261" t="s">
        <v>77</v>
      </c>
      <c r="G261" t="s">
        <v>8</v>
      </c>
      <c r="H261" s="2">
        <v>750000</v>
      </c>
      <c r="I261" t="str">
        <f>VLOOKUP(G261,'rozdělení obchodníků'!B:D,3, )</f>
        <v>Praha</v>
      </c>
    </row>
    <row r="262" spans="2:9" x14ac:dyDescent="0.25">
      <c r="B262" s="1">
        <v>45949</v>
      </c>
      <c r="C262">
        <v>20220013641</v>
      </c>
      <c r="D262" t="s">
        <v>85</v>
      </c>
      <c r="E262" t="s">
        <v>80</v>
      </c>
      <c r="F262" t="s">
        <v>77</v>
      </c>
      <c r="G262" t="s">
        <v>8</v>
      </c>
      <c r="H262" s="2">
        <v>750000</v>
      </c>
      <c r="I262" t="str">
        <f>VLOOKUP(G262,'rozdělení obchodníků'!B:D,3, )</f>
        <v>Praha</v>
      </c>
    </row>
    <row r="263" spans="2:9" x14ac:dyDescent="0.25">
      <c r="B263" s="1">
        <v>45949</v>
      </c>
      <c r="C263">
        <v>20220013650</v>
      </c>
      <c r="D263" t="s">
        <v>85</v>
      </c>
      <c r="E263" t="s">
        <v>81</v>
      </c>
      <c r="F263" t="s">
        <v>77</v>
      </c>
      <c r="G263" t="s">
        <v>8</v>
      </c>
      <c r="H263" s="2">
        <v>100000</v>
      </c>
      <c r="I263" t="str">
        <f>VLOOKUP(G263,'rozdělení obchodníků'!B:D,3, )</f>
        <v>Praha</v>
      </c>
    </row>
    <row r="264" spans="2:9" x14ac:dyDescent="0.25">
      <c r="B264" s="1">
        <v>45951</v>
      </c>
      <c r="C264">
        <v>20220013716</v>
      </c>
      <c r="D264" t="s">
        <v>85</v>
      </c>
      <c r="E264" t="s">
        <v>80</v>
      </c>
      <c r="F264" t="s">
        <v>77</v>
      </c>
      <c r="G264" t="s">
        <v>8</v>
      </c>
      <c r="H264" s="2">
        <v>1250000</v>
      </c>
      <c r="I264" t="str">
        <f>VLOOKUP(G264,'rozdělení obchodníků'!B:D,3, )</f>
        <v>Praha</v>
      </c>
    </row>
    <row r="265" spans="2:9" x14ac:dyDescent="0.25">
      <c r="B265" s="1">
        <v>45951</v>
      </c>
      <c r="C265">
        <v>20220013719</v>
      </c>
      <c r="D265" t="s">
        <v>85</v>
      </c>
      <c r="E265" t="s">
        <v>80</v>
      </c>
      <c r="F265" t="s">
        <v>77</v>
      </c>
      <c r="G265" t="s">
        <v>8</v>
      </c>
      <c r="H265" s="2">
        <v>100000</v>
      </c>
      <c r="I265" t="str">
        <f>VLOOKUP(G265,'rozdělení obchodníků'!B:D,3, )</f>
        <v>Praha</v>
      </c>
    </row>
    <row r="266" spans="2:9" x14ac:dyDescent="0.25">
      <c r="B266" s="1">
        <v>45951</v>
      </c>
      <c r="C266">
        <v>20220013725</v>
      </c>
      <c r="D266" t="s">
        <v>85</v>
      </c>
      <c r="E266" t="s">
        <v>81</v>
      </c>
      <c r="F266" t="s">
        <v>77</v>
      </c>
      <c r="G266" t="s">
        <v>8</v>
      </c>
      <c r="H266" s="2">
        <v>100000</v>
      </c>
      <c r="I266" t="str">
        <f>VLOOKUP(G266,'rozdělení obchodníků'!B:D,3, )</f>
        <v>Praha</v>
      </c>
    </row>
    <row r="267" spans="2:9" x14ac:dyDescent="0.25">
      <c r="B267" s="1">
        <v>45951</v>
      </c>
      <c r="C267">
        <v>20220013737</v>
      </c>
      <c r="D267" t="s">
        <v>85</v>
      </c>
      <c r="E267" t="s">
        <v>80</v>
      </c>
      <c r="F267" t="s">
        <v>77</v>
      </c>
      <c r="G267" t="s">
        <v>8</v>
      </c>
      <c r="H267" s="2">
        <v>750000</v>
      </c>
      <c r="I267" t="str">
        <f>VLOOKUP(G267,'rozdělení obchodníků'!B:D,3, )</f>
        <v>Praha</v>
      </c>
    </row>
    <row r="268" spans="2:9" x14ac:dyDescent="0.25">
      <c r="B268" s="1">
        <v>45951</v>
      </c>
      <c r="C268">
        <v>20220013740</v>
      </c>
      <c r="D268" t="s">
        <v>85</v>
      </c>
      <c r="E268" t="s">
        <v>80</v>
      </c>
      <c r="F268" t="s">
        <v>77</v>
      </c>
      <c r="G268" t="s">
        <v>8</v>
      </c>
      <c r="H268" s="2">
        <v>750000</v>
      </c>
      <c r="I268" t="str">
        <f>VLOOKUP(G268,'rozdělení obchodníků'!B:D,3, )</f>
        <v>Praha</v>
      </c>
    </row>
    <row r="269" spans="2:9" x14ac:dyDescent="0.25">
      <c r="B269" s="1">
        <v>45951</v>
      </c>
      <c r="C269">
        <v>20220013746</v>
      </c>
      <c r="D269" t="s">
        <v>85</v>
      </c>
      <c r="E269" t="s">
        <v>80</v>
      </c>
      <c r="F269" t="s">
        <v>77</v>
      </c>
      <c r="G269" t="s">
        <v>8</v>
      </c>
      <c r="H269" s="2">
        <v>1000000</v>
      </c>
      <c r="I269" t="str">
        <f>VLOOKUP(G269,'rozdělení obchodníků'!B:D,3, )</f>
        <v>Praha</v>
      </c>
    </row>
    <row r="270" spans="2:9" x14ac:dyDescent="0.25">
      <c r="B270" s="1">
        <v>45952</v>
      </c>
      <c r="C270">
        <v>20220013755</v>
      </c>
      <c r="D270" t="s">
        <v>85</v>
      </c>
      <c r="E270" t="s">
        <v>80</v>
      </c>
      <c r="F270" t="s">
        <v>77</v>
      </c>
      <c r="G270" t="s">
        <v>8</v>
      </c>
      <c r="H270" s="2">
        <v>1200000</v>
      </c>
      <c r="I270" t="str">
        <f>VLOOKUP(G270,'rozdělení obchodníků'!B:D,3, )</f>
        <v>Praha</v>
      </c>
    </row>
    <row r="271" spans="2:9" x14ac:dyDescent="0.25">
      <c r="B271" s="1">
        <v>45952</v>
      </c>
      <c r="C271">
        <v>20220013758</v>
      </c>
      <c r="D271" t="s">
        <v>85</v>
      </c>
      <c r="E271" t="s">
        <v>80</v>
      </c>
      <c r="F271" t="s">
        <v>77</v>
      </c>
      <c r="G271" t="s">
        <v>8</v>
      </c>
      <c r="H271" s="2">
        <v>100000</v>
      </c>
      <c r="I271" t="str">
        <f>VLOOKUP(G271,'rozdělení obchodníků'!B:D,3, )</f>
        <v>Praha</v>
      </c>
    </row>
    <row r="272" spans="2:9" x14ac:dyDescent="0.25">
      <c r="B272" s="1">
        <v>45952</v>
      </c>
      <c r="C272">
        <v>20220013788</v>
      </c>
      <c r="D272" t="s">
        <v>85</v>
      </c>
      <c r="E272" t="s">
        <v>81</v>
      </c>
      <c r="F272" t="s">
        <v>77</v>
      </c>
      <c r="G272" t="s">
        <v>8</v>
      </c>
      <c r="H272" s="2">
        <v>750000</v>
      </c>
      <c r="I272" t="str">
        <f>VLOOKUP(G272,'rozdělení obchodníků'!B:D,3, )</f>
        <v>Praha</v>
      </c>
    </row>
    <row r="273" spans="2:9" x14ac:dyDescent="0.25">
      <c r="B273" s="1">
        <v>45956</v>
      </c>
      <c r="C273">
        <v>20220013881</v>
      </c>
      <c r="D273" t="s">
        <v>85</v>
      </c>
      <c r="E273" t="s">
        <v>80</v>
      </c>
      <c r="F273" t="s">
        <v>77</v>
      </c>
      <c r="G273" t="s">
        <v>8</v>
      </c>
      <c r="H273" s="2">
        <v>1100000</v>
      </c>
      <c r="I273" t="str">
        <f>VLOOKUP(G273,'rozdělení obchodníků'!B:D,3, )</f>
        <v>Praha</v>
      </c>
    </row>
    <row r="274" spans="2:9" x14ac:dyDescent="0.25">
      <c r="B274" s="1">
        <v>45956</v>
      </c>
      <c r="C274">
        <v>20220013887</v>
      </c>
      <c r="D274" t="s">
        <v>85</v>
      </c>
      <c r="E274" t="s">
        <v>80</v>
      </c>
      <c r="F274" t="s">
        <v>77</v>
      </c>
      <c r="G274" t="s">
        <v>8</v>
      </c>
      <c r="H274" s="2">
        <v>1000000</v>
      </c>
      <c r="I274" t="str">
        <f>VLOOKUP(G274,'rozdělení obchodníků'!B:D,3, )</f>
        <v>Praha</v>
      </c>
    </row>
    <row r="275" spans="2:9" x14ac:dyDescent="0.25">
      <c r="B275" s="1">
        <v>45960</v>
      </c>
      <c r="C275">
        <v>20220013995</v>
      </c>
      <c r="D275" t="s">
        <v>85</v>
      </c>
      <c r="E275" t="s">
        <v>80</v>
      </c>
      <c r="F275" t="s">
        <v>77</v>
      </c>
      <c r="G275" t="s">
        <v>8</v>
      </c>
      <c r="H275" s="2">
        <v>500000</v>
      </c>
      <c r="I275" t="str">
        <f>VLOOKUP(G275,'rozdělení obchodníků'!B:D,3, )</f>
        <v>Praha</v>
      </c>
    </row>
    <row r="276" spans="2:9" x14ac:dyDescent="0.25">
      <c r="B276" s="1">
        <v>45936</v>
      </c>
      <c r="C276">
        <v>20220012963</v>
      </c>
      <c r="D276" t="s">
        <v>85</v>
      </c>
      <c r="E276" t="s">
        <v>82</v>
      </c>
      <c r="F276" t="s">
        <v>77</v>
      </c>
      <c r="G276" t="s">
        <v>3</v>
      </c>
      <c r="H276" s="2">
        <v>600000</v>
      </c>
      <c r="I276" t="str">
        <f>VLOOKUP(G276,'rozdělení obchodníků'!B:D,3, )</f>
        <v>Morava</v>
      </c>
    </row>
    <row r="277" spans="2:9" x14ac:dyDescent="0.25">
      <c r="B277" s="1">
        <v>45936</v>
      </c>
      <c r="C277">
        <v>20220012969</v>
      </c>
      <c r="D277" t="s">
        <v>85</v>
      </c>
      <c r="E277" t="s">
        <v>81</v>
      </c>
      <c r="F277" t="s">
        <v>77</v>
      </c>
      <c r="G277" t="s">
        <v>3</v>
      </c>
      <c r="H277" s="2">
        <v>200000</v>
      </c>
      <c r="I277" t="str">
        <f>VLOOKUP(G277,'rozdělení obchodníků'!B:D,3, )</f>
        <v>Morava</v>
      </c>
    </row>
    <row r="278" spans="2:9" x14ac:dyDescent="0.25">
      <c r="B278" s="1">
        <v>45936</v>
      </c>
      <c r="C278">
        <v>20220012972</v>
      </c>
      <c r="D278" t="s">
        <v>85</v>
      </c>
      <c r="E278" t="s">
        <v>81</v>
      </c>
      <c r="F278" t="s">
        <v>77</v>
      </c>
      <c r="G278" t="s">
        <v>3</v>
      </c>
      <c r="H278" s="2">
        <v>1000000</v>
      </c>
      <c r="I278" t="str">
        <f>VLOOKUP(G278,'rozdělení obchodníků'!B:D,3, )</f>
        <v>Morava</v>
      </c>
    </row>
    <row r="279" spans="2:9" x14ac:dyDescent="0.25">
      <c r="B279" s="1">
        <v>45936</v>
      </c>
      <c r="C279">
        <v>20220012978</v>
      </c>
      <c r="D279" t="s">
        <v>85</v>
      </c>
      <c r="E279" t="s">
        <v>80</v>
      </c>
      <c r="F279" t="s">
        <v>77</v>
      </c>
      <c r="G279" t="s">
        <v>3</v>
      </c>
      <c r="H279" s="2">
        <v>600000</v>
      </c>
      <c r="I279" t="str">
        <f>VLOOKUP(G279,'rozdělení obchodníků'!B:D,3, )</f>
        <v>Morava</v>
      </c>
    </row>
    <row r="280" spans="2:9" x14ac:dyDescent="0.25">
      <c r="B280" s="1">
        <v>45936</v>
      </c>
      <c r="C280">
        <v>20220012990</v>
      </c>
      <c r="D280" t="s">
        <v>85</v>
      </c>
      <c r="E280" t="s">
        <v>82</v>
      </c>
      <c r="F280" t="s">
        <v>77</v>
      </c>
      <c r="G280" t="s">
        <v>3</v>
      </c>
      <c r="H280" s="2">
        <v>1000000</v>
      </c>
      <c r="I280" t="str">
        <f>VLOOKUP(G280,'rozdělení obchodníků'!B:D,3, )</f>
        <v>Morava</v>
      </c>
    </row>
    <row r="281" spans="2:9" x14ac:dyDescent="0.25">
      <c r="B281" s="1">
        <v>45936</v>
      </c>
      <c r="C281">
        <v>20220012999</v>
      </c>
      <c r="D281" t="s">
        <v>85</v>
      </c>
      <c r="E281" t="s">
        <v>82</v>
      </c>
      <c r="F281" t="s">
        <v>77</v>
      </c>
      <c r="G281" t="s">
        <v>3</v>
      </c>
      <c r="H281" s="2">
        <v>100000</v>
      </c>
      <c r="I281" t="str">
        <f>VLOOKUP(G281,'rozdělení obchodníků'!B:D,3, )</f>
        <v>Morava</v>
      </c>
    </row>
    <row r="282" spans="2:9" x14ac:dyDescent="0.25">
      <c r="B282" s="1">
        <v>45936</v>
      </c>
      <c r="C282">
        <v>20220013008</v>
      </c>
      <c r="D282" t="s">
        <v>85</v>
      </c>
      <c r="E282" t="s">
        <v>81</v>
      </c>
      <c r="F282" t="s">
        <v>77</v>
      </c>
      <c r="G282" t="s">
        <v>3</v>
      </c>
      <c r="H282" s="2">
        <v>100000</v>
      </c>
      <c r="I282" t="str">
        <f>VLOOKUP(G282,'rozdělení obchodníků'!B:D,3, )</f>
        <v>Morava</v>
      </c>
    </row>
    <row r="283" spans="2:9" x14ac:dyDescent="0.25">
      <c r="B283" s="1">
        <v>45936</v>
      </c>
      <c r="C283">
        <v>20220013014</v>
      </c>
      <c r="D283" t="s">
        <v>85</v>
      </c>
      <c r="E283" t="s">
        <v>81</v>
      </c>
      <c r="F283" t="s">
        <v>77</v>
      </c>
      <c r="G283" t="s">
        <v>3</v>
      </c>
      <c r="H283" s="2">
        <v>1000000</v>
      </c>
      <c r="I283" t="str">
        <f>VLOOKUP(G283,'rozdělení obchodníků'!B:D,3, )</f>
        <v>Morava</v>
      </c>
    </row>
    <row r="284" spans="2:9" x14ac:dyDescent="0.25">
      <c r="B284" s="1">
        <v>45937</v>
      </c>
      <c r="C284">
        <v>20220013089</v>
      </c>
      <c r="D284" t="s">
        <v>85</v>
      </c>
      <c r="E284" t="s">
        <v>82</v>
      </c>
      <c r="F284" t="s">
        <v>77</v>
      </c>
      <c r="G284" t="s">
        <v>3</v>
      </c>
      <c r="H284" s="2">
        <v>1000000</v>
      </c>
      <c r="I284" t="str">
        <f>VLOOKUP(G284,'rozdělení obchodníků'!B:D,3, )</f>
        <v>Morava</v>
      </c>
    </row>
    <row r="285" spans="2:9" x14ac:dyDescent="0.25">
      <c r="B285" s="1">
        <v>45937</v>
      </c>
      <c r="C285">
        <v>20220013092</v>
      </c>
      <c r="D285" t="s">
        <v>85</v>
      </c>
      <c r="E285" t="s">
        <v>82</v>
      </c>
      <c r="F285" t="s">
        <v>77</v>
      </c>
      <c r="G285" t="s">
        <v>3</v>
      </c>
      <c r="H285" s="2">
        <v>1000000</v>
      </c>
      <c r="I285" t="str">
        <f>VLOOKUP(G285,'rozdělení obchodníků'!B:D,3, )</f>
        <v>Morava</v>
      </c>
    </row>
    <row r="286" spans="2:9" x14ac:dyDescent="0.25">
      <c r="B286" s="1">
        <v>45937</v>
      </c>
      <c r="C286">
        <v>20220013098</v>
      </c>
      <c r="D286" t="s">
        <v>85</v>
      </c>
      <c r="E286" t="s">
        <v>82</v>
      </c>
      <c r="F286" t="s">
        <v>77</v>
      </c>
      <c r="G286" t="s">
        <v>3</v>
      </c>
      <c r="H286" s="2">
        <v>750000</v>
      </c>
      <c r="I286" t="str">
        <f>VLOOKUP(G286,'rozdělení obchodníků'!B:D,3, )</f>
        <v>Morava</v>
      </c>
    </row>
    <row r="287" spans="2:9" x14ac:dyDescent="0.25">
      <c r="B287" s="1">
        <v>45937</v>
      </c>
      <c r="C287">
        <v>20220013101</v>
      </c>
      <c r="D287" t="s">
        <v>85</v>
      </c>
      <c r="E287" t="s">
        <v>82</v>
      </c>
      <c r="F287" t="s">
        <v>77</v>
      </c>
      <c r="G287" t="s">
        <v>3</v>
      </c>
      <c r="H287" s="2">
        <v>750000</v>
      </c>
      <c r="I287" t="str">
        <f>VLOOKUP(G287,'rozdělení obchodníků'!B:D,3, )</f>
        <v>Morava</v>
      </c>
    </row>
    <row r="288" spans="2:9" x14ac:dyDescent="0.25">
      <c r="B288" s="1">
        <v>45942</v>
      </c>
      <c r="C288">
        <v>20220013410</v>
      </c>
      <c r="D288" t="s">
        <v>85</v>
      </c>
      <c r="E288" t="s">
        <v>81</v>
      </c>
      <c r="F288" t="s">
        <v>77</v>
      </c>
      <c r="G288" t="s">
        <v>3</v>
      </c>
      <c r="H288" s="2">
        <v>100000</v>
      </c>
      <c r="I288" t="str">
        <f>VLOOKUP(G288,'rozdělení obchodníků'!B:D,3, )</f>
        <v>Morava</v>
      </c>
    </row>
    <row r="289" spans="2:9" x14ac:dyDescent="0.25">
      <c r="B289" s="1">
        <v>45942</v>
      </c>
      <c r="C289">
        <v>20220013428</v>
      </c>
      <c r="D289" t="s">
        <v>85</v>
      </c>
      <c r="E289" t="s">
        <v>81</v>
      </c>
      <c r="F289" t="s">
        <v>77</v>
      </c>
      <c r="G289" t="s">
        <v>3</v>
      </c>
      <c r="H289" s="2">
        <v>750000</v>
      </c>
      <c r="I289" t="str">
        <f>VLOOKUP(G289,'rozdělení obchodníků'!B:D,3, )</f>
        <v>Morava</v>
      </c>
    </row>
    <row r="290" spans="2:9" x14ac:dyDescent="0.25">
      <c r="B290" s="1">
        <v>45942</v>
      </c>
      <c r="C290">
        <v>20220013431</v>
      </c>
      <c r="D290" t="s">
        <v>85</v>
      </c>
      <c r="E290" t="s">
        <v>81</v>
      </c>
      <c r="F290" t="s">
        <v>77</v>
      </c>
      <c r="G290" t="s">
        <v>3</v>
      </c>
      <c r="H290" s="2">
        <v>750000</v>
      </c>
      <c r="I290" t="str">
        <f>VLOOKUP(G290,'rozdělení obchodníků'!B:D,3, )</f>
        <v>Morava</v>
      </c>
    </row>
    <row r="291" spans="2:9" x14ac:dyDescent="0.25">
      <c r="B291" s="1">
        <v>45946</v>
      </c>
      <c r="C291">
        <v>20220013542</v>
      </c>
      <c r="D291" t="s">
        <v>85</v>
      </c>
      <c r="E291" t="s">
        <v>81</v>
      </c>
      <c r="F291" t="s">
        <v>77</v>
      </c>
      <c r="G291" t="s">
        <v>3</v>
      </c>
      <c r="H291" s="2">
        <v>100000</v>
      </c>
      <c r="I291" t="str">
        <f>VLOOKUP(G291,'rozdělení obchodníků'!B:D,3, )</f>
        <v>Morava</v>
      </c>
    </row>
    <row r="292" spans="2:9" x14ac:dyDescent="0.25">
      <c r="B292" s="1">
        <v>45946</v>
      </c>
      <c r="C292">
        <v>20220013545</v>
      </c>
      <c r="D292" t="s">
        <v>85</v>
      </c>
      <c r="E292" t="s">
        <v>81</v>
      </c>
      <c r="F292" t="s">
        <v>77</v>
      </c>
      <c r="G292" t="s">
        <v>3</v>
      </c>
      <c r="H292" s="2">
        <v>2000000</v>
      </c>
      <c r="I292" t="str">
        <f>VLOOKUP(G292,'rozdělení obchodníků'!B:D,3, )</f>
        <v>Morava</v>
      </c>
    </row>
    <row r="293" spans="2:9" x14ac:dyDescent="0.25">
      <c r="B293" s="1">
        <v>45946</v>
      </c>
      <c r="C293">
        <v>20220013551</v>
      </c>
      <c r="D293" t="s">
        <v>85</v>
      </c>
      <c r="E293" t="s">
        <v>81</v>
      </c>
      <c r="F293" t="s">
        <v>77</v>
      </c>
      <c r="G293" t="s">
        <v>3</v>
      </c>
      <c r="H293" s="2">
        <v>750000</v>
      </c>
      <c r="I293" t="str">
        <f>VLOOKUP(G293,'rozdělení obchodníků'!B:D,3, )</f>
        <v>Morava</v>
      </c>
    </row>
    <row r="294" spans="2:9" x14ac:dyDescent="0.25">
      <c r="B294" s="1">
        <v>45948</v>
      </c>
      <c r="C294">
        <v>20220013581</v>
      </c>
      <c r="D294" t="s">
        <v>85</v>
      </c>
      <c r="E294" t="s">
        <v>81</v>
      </c>
      <c r="F294" t="s">
        <v>77</v>
      </c>
      <c r="G294" t="s">
        <v>3</v>
      </c>
      <c r="H294" s="2">
        <v>1000000</v>
      </c>
      <c r="I294" t="str">
        <f>VLOOKUP(G294,'rozdělení obchodníků'!B:D,3, )</f>
        <v>Morava</v>
      </c>
    </row>
    <row r="295" spans="2:9" x14ac:dyDescent="0.25">
      <c r="B295" s="1">
        <v>45948</v>
      </c>
      <c r="C295">
        <v>20220013599</v>
      </c>
      <c r="D295" t="s">
        <v>85</v>
      </c>
      <c r="E295" t="s">
        <v>81</v>
      </c>
      <c r="F295" t="s">
        <v>77</v>
      </c>
      <c r="G295" t="s">
        <v>3</v>
      </c>
      <c r="H295" s="2">
        <v>100000</v>
      </c>
      <c r="I295" t="str">
        <f>VLOOKUP(G295,'rozdělení obchodníků'!B:D,3, )</f>
        <v>Morava</v>
      </c>
    </row>
    <row r="296" spans="2:9" x14ac:dyDescent="0.25">
      <c r="B296" s="1">
        <v>45948</v>
      </c>
      <c r="C296">
        <v>20220013602</v>
      </c>
      <c r="D296" t="s">
        <v>85</v>
      </c>
      <c r="E296" t="s">
        <v>81</v>
      </c>
      <c r="F296" t="s">
        <v>77</v>
      </c>
      <c r="G296" t="s">
        <v>3</v>
      </c>
      <c r="H296" s="2">
        <v>100000</v>
      </c>
      <c r="I296" t="str">
        <f>VLOOKUP(G296,'rozdělení obchodníků'!B:D,3, )</f>
        <v>Morava</v>
      </c>
    </row>
    <row r="297" spans="2:9" x14ac:dyDescent="0.25">
      <c r="B297" s="1">
        <v>45948</v>
      </c>
      <c r="C297">
        <v>20220013617</v>
      </c>
      <c r="D297" t="s">
        <v>85</v>
      </c>
      <c r="E297" t="s">
        <v>81</v>
      </c>
      <c r="F297" t="s">
        <v>77</v>
      </c>
      <c r="G297" t="s">
        <v>3</v>
      </c>
      <c r="H297" s="2">
        <v>1000000</v>
      </c>
      <c r="I297" t="str">
        <f>VLOOKUP(G297,'rozdělení obchodníků'!B:D,3, )</f>
        <v>Morava</v>
      </c>
    </row>
    <row r="298" spans="2:9" x14ac:dyDescent="0.25">
      <c r="B298" s="1">
        <v>45960</v>
      </c>
      <c r="C298">
        <v>20220013992</v>
      </c>
      <c r="D298" t="s">
        <v>85</v>
      </c>
      <c r="E298" t="s">
        <v>80</v>
      </c>
      <c r="F298" t="s">
        <v>77</v>
      </c>
      <c r="G298" t="s">
        <v>3</v>
      </c>
      <c r="H298" s="2">
        <v>100000</v>
      </c>
      <c r="I298" t="str">
        <f>VLOOKUP(G298,'rozdělení obchodníků'!B:D,3, )</f>
        <v>Morava</v>
      </c>
    </row>
    <row r="299" spans="2:9" x14ac:dyDescent="0.25">
      <c r="B299" s="1">
        <v>45960</v>
      </c>
      <c r="C299">
        <v>20220013998</v>
      </c>
      <c r="D299" t="s">
        <v>85</v>
      </c>
      <c r="E299" t="s">
        <v>80</v>
      </c>
      <c r="F299" t="s">
        <v>77</v>
      </c>
      <c r="G299" t="s">
        <v>3</v>
      </c>
      <c r="H299" s="2">
        <v>1300000</v>
      </c>
      <c r="I299" t="str">
        <f>VLOOKUP(G299,'rozdělení obchodníků'!B:D,3, )</f>
        <v>Morava</v>
      </c>
    </row>
    <row r="300" spans="2:9" x14ac:dyDescent="0.25">
      <c r="B300" s="1">
        <v>45960</v>
      </c>
      <c r="C300">
        <v>20220014004</v>
      </c>
      <c r="D300" t="s">
        <v>85</v>
      </c>
      <c r="E300" t="s">
        <v>80</v>
      </c>
      <c r="F300" t="s">
        <v>77</v>
      </c>
      <c r="G300" t="s">
        <v>3</v>
      </c>
      <c r="H300" s="2">
        <v>750000</v>
      </c>
      <c r="I300" t="str">
        <f>VLOOKUP(G300,'rozdělení obchodníků'!B:D,3, )</f>
        <v>Morava</v>
      </c>
    </row>
    <row r="301" spans="2:9" x14ac:dyDescent="0.25">
      <c r="B301" s="1">
        <v>45960</v>
      </c>
      <c r="C301">
        <v>20220014007</v>
      </c>
      <c r="D301" t="s">
        <v>85</v>
      </c>
      <c r="E301" t="s">
        <v>80</v>
      </c>
      <c r="F301" t="s">
        <v>77</v>
      </c>
      <c r="G301" t="s">
        <v>3</v>
      </c>
      <c r="H301" s="2">
        <v>100000</v>
      </c>
      <c r="I301" t="str">
        <f>VLOOKUP(G301,'rozdělení obchodníků'!B:D,3, )</f>
        <v>Morava</v>
      </c>
    </row>
    <row r="302" spans="2:9" x14ac:dyDescent="0.25">
      <c r="B302" s="1">
        <v>45960</v>
      </c>
      <c r="C302">
        <v>20220014010</v>
      </c>
      <c r="D302" t="s">
        <v>85</v>
      </c>
      <c r="E302" t="s">
        <v>80</v>
      </c>
      <c r="F302" t="s">
        <v>77</v>
      </c>
      <c r="G302" t="s">
        <v>3</v>
      </c>
      <c r="H302" s="2">
        <v>300000</v>
      </c>
      <c r="I302" t="str">
        <f>VLOOKUP(G302,'rozdělení obchodníků'!B:D,3, )</f>
        <v>Morava</v>
      </c>
    </row>
    <row r="303" spans="2:9" x14ac:dyDescent="0.25">
      <c r="B303" s="1">
        <v>45960</v>
      </c>
      <c r="C303">
        <v>20220014013</v>
      </c>
      <c r="D303" t="s">
        <v>85</v>
      </c>
      <c r="E303" t="s">
        <v>81</v>
      </c>
      <c r="F303" t="s">
        <v>77</v>
      </c>
      <c r="G303" t="s">
        <v>3</v>
      </c>
      <c r="H303" s="2">
        <v>300000</v>
      </c>
      <c r="I303" t="str">
        <f>VLOOKUP(G303,'rozdělení obchodníků'!B:D,3, )</f>
        <v>Morava</v>
      </c>
    </row>
    <row r="304" spans="2:9" x14ac:dyDescent="0.25">
      <c r="B304" s="1">
        <v>45960</v>
      </c>
      <c r="C304">
        <v>20220014016</v>
      </c>
      <c r="D304" t="s">
        <v>85</v>
      </c>
      <c r="E304" t="s">
        <v>80</v>
      </c>
      <c r="F304" t="s">
        <v>77</v>
      </c>
      <c r="G304" t="s">
        <v>3</v>
      </c>
      <c r="H304" s="2">
        <v>100000</v>
      </c>
      <c r="I304" t="str">
        <f>VLOOKUP(G304,'rozdělení obchodníků'!B:D,3, )</f>
        <v>Morava</v>
      </c>
    </row>
    <row r="305" spans="2:9" x14ac:dyDescent="0.25">
      <c r="B305" s="1">
        <v>45960</v>
      </c>
      <c r="C305">
        <v>20220014019</v>
      </c>
      <c r="D305" t="s">
        <v>85</v>
      </c>
      <c r="E305" t="s">
        <v>80</v>
      </c>
      <c r="F305" t="s">
        <v>77</v>
      </c>
      <c r="G305" t="s">
        <v>3</v>
      </c>
      <c r="H305" s="2">
        <v>1000000</v>
      </c>
      <c r="I305" t="str">
        <f>VLOOKUP(G305,'rozdělení obchodníků'!B:D,3, )</f>
        <v>Morava</v>
      </c>
    </row>
    <row r="306" spans="2:9" x14ac:dyDescent="0.25">
      <c r="B306" s="1">
        <v>45960</v>
      </c>
      <c r="C306">
        <v>20220014022</v>
      </c>
      <c r="D306" t="s">
        <v>85</v>
      </c>
      <c r="E306" t="s">
        <v>81</v>
      </c>
      <c r="F306" t="s">
        <v>77</v>
      </c>
      <c r="G306" t="s">
        <v>3</v>
      </c>
      <c r="H306" s="2">
        <v>100000</v>
      </c>
      <c r="I306" t="str">
        <f>VLOOKUP(G306,'rozdělení obchodníků'!B:D,3, )</f>
        <v>Morava</v>
      </c>
    </row>
    <row r="307" spans="2:9" x14ac:dyDescent="0.25">
      <c r="B307" s="1">
        <v>45960</v>
      </c>
      <c r="C307">
        <v>20220014025</v>
      </c>
      <c r="D307" t="s">
        <v>85</v>
      </c>
      <c r="E307" t="s">
        <v>81</v>
      </c>
      <c r="F307" t="s">
        <v>77</v>
      </c>
      <c r="G307" t="s">
        <v>3</v>
      </c>
      <c r="H307" s="2">
        <v>100000</v>
      </c>
      <c r="I307" t="str">
        <f>VLOOKUP(G307,'rozdělení obchodníků'!B:D,3, )</f>
        <v>Morava</v>
      </c>
    </row>
    <row r="308" spans="2:9" x14ac:dyDescent="0.25">
      <c r="B308" s="1">
        <v>45960</v>
      </c>
      <c r="C308">
        <v>20220014028</v>
      </c>
      <c r="D308" t="s">
        <v>85</v>
      </c>
      <c r="E308" t="s">
        <v>80</v>
      </c>
      <c r="F308" t="s">
        <v>77</v>
      </c>
      <c r="G308" t="s">
        <v>3</v>
      </c>
      <c r="H308" s="2">
        <v>2000000</v>
      </c>
      <c r="I308" t="str">
        <f>VLOOKUP(G308,'rozdělení obchodníků'!B:D,3, )</f>
        <v>Morava</v>
      </c>
    </row>
    <row r="309" spans="2:9" x14ac:dyDescent="0.25">
      <c r="B309" s="1">
        <v>45960</v>
      </c>
      <c r="C309">
        <v>20220014031</v>
      </c>
      <c r="D309" t="s">
        <v>85</v>
      </c>
      <c r="E309" t="s">
        <v>80</v>
      </c>
      <c r="F309" t="s">
        <v>77</v>
      </c>
      <c r="G309" t="s">
        <v>3</v>
      </c>
      <c r="H309" s="2">
        <v>2000000</v>
      </c>
      <c r="I309" t="str">
        <f>VLOOKUP(G309,'rozdělení obchodníků'!B:D,3, )</f>
        <v>Morava</v>
      </c>
    </row>
    <row r="310" spans="2:9" x14ac:dyDescent="0.25">
      <c r="B310" s="1">
        <v>45934</v>
      </c>
      <c r="C310">
        <v>20220012837</v>
      </c>
      <c r="D310" t="s">
        <v>85</v>
      </c>
      <c r="E310" t="s">
        <v>81</v>
      </c>
      <c r="F310" t="s">
        <v>77</v>
      </c>
      <c r="G310" t="s">
        <v>60</v>
      </c>
      <c r="H310" s="2">
        <v>1000000</v>
      </c>
      <c r="I310" t="str">
        <f>VLOOKUP(G310,'rozdělení obchodníků'!B:D,3, )</f>
        <v>Čechy</v>
      </c>
    </row>
    <row r="311" spans="2:9" x14ac:dyDescent="0.25">
      <c r="B311" s="1">
        <v>45934</v>
      </c>
      <c r="C311">
        <v>20220012840</v>
      </c>
      <c r="D311" t="s">
        <v>85</v>
      </c>
      <c r="E311" t="s">
        <v>81</v>
      </c>
      <c r="F311" t="s">
        <v>77</v>
      </c>
      <c r="G311" t="s">
        <v>60</v>
      </c>
      <c r="H311" s="2">
        <v>100000</v>
      </c>
      <c r="I311" t="str">
        <f>VLOOKUP(G311,'rozdělení obchodníků'!B:D,3, )</f>
        <v>Čechy</v>
      </c>
    </row>
    <row r="312" spans="2:9" x14ac:dyDescent="0.25">
      <c r="B312" s="1">
        <v>45937</v>
      </c>
      <c r="C312">
        <v>20220013077</v>
      </c>
      <c r="D312" t="s">
        <v>85</v>
      </c>
      <c r="E312" t="s">
        <v>80</v>
      </c>
      <c r="F312" t="s">
        <v>77</v>
      </c>
      <c r="G312" t="s">
        <v>60</v>
      </c>
      <c r="H312" s="2">
        <v>100000</v>
      </c>
      <c r="I312" t="str">
        <f>VLOOKUP(G312,'rozdělení obchodníků'!B:D,3, )</f>
        <v>Čechy</v>
      </c>
    </row>
    <row r="313" spans="2:9" x14ac:dyDescent="0.25">
      <c r="B313" s="1">
        <v>45937</v>
      </c>
      <c r="C313">
        <v>20220013080</v>
      </c>
      <c r="D313" t="s">
        <v>85</v>
      </c>
      <c r="E313" t="s">
        <v>80</v>
      </c>
      <c r="F313" t="s">
        <v>77</v>
      </c>
      <c r="G313" t="s">
        <v>60</v>
      </c>
      <c r="H313" s="2">
        <v>100000</v>
      </c>
      <c r="I313" t="str">
        <f>VLOOKUP(G313,'rozdělení obchodníků'!B:D,3, )</f>
        <v>Čechy</v>
      </c>
    </row>
    <row r="314" spans="2:9" x14ac:dyDescent="0.25">
      <c r="B314" s="1">
        <v>45938</v>
      </c>
      <c r="C314">
        <v>20220013191</v>
      </c>
      <c r="D314" t="s">
        <v>85</v>
      </c>
      <c r="E314" t="s">
        <v>82</v>
      </c>
      <c r="F314" t="s">
        <v>77</v>
      </c>
      <c r="G314" t="s">
        <v>60</v>
      </c>
      <c r="H314" s="2">
        <v>100000</v>
      </c>
      <c r="I314" t="str">
        <f>VLOOKUP(G314,'rozdělení obchodníků'!B:D,3, )</f>
        <v>Čechy</v>
      </c>
    </row>
    <row r="315" spans="2:9" x14ac:dyDescent="0.25">
      <c r="B315" s="1">
        <v>45938</v>
      </c>
      <c r="C315">
        <v>20220013200</v>
      </c>
      <c r="D315" t="s">
        <v>85</v>
      </c>
      <c r="E315" t="s">
        <v>82</v>
      </c>
      <c r="F315" t="s">
        <v>77</v>
      </c>
      <c r="G315" t="s">
        <v>60</v>
      </c>
      <c r="H315" s="2">
        <v>750000</v>
      </c>
      <c r="I315" t="str">
        <f>VLOOKUP(G315,'rozdělení obchodníků'!B:D,3, )</f>
        <v>Čechy</v>
      </c>
    </row>
    <row r="316" spans="2:9" x14ac:dyDescent="0.25">
      <c r="B316" s="1">
        <v>45938</v>
      </c>
      <c r="C316">
        <v>20220013251</v>
      </c>
      <c r="D316" t="s">
        <v>85</v>
      </c>
      <c r="E316" t="s">
        <v>81</v>
      </c>
      <c r="F316" t="s">
        <v>77</v>
      </c>
      <c r="G316" t="s">
        <v>60</v>
      </c>
      <c r="H316" s="2">
        <v>100000</v>
      </c>
      <c r="I316" t="str">
        <f>VLOOKUP(G316,'rozdělení obchodníků'!B:D,3, )</f>
        <v>Čechy</v>
      </c>
    </row>
    <row r="317" spans="2:9" x14ac:dyDescent="0.25">
      <c r="B317" s="1">
        <v>45938</v>
      </c>
      <c r="C317">
        <v>20220013278</v>
      </c>
      <c r="D317" t="s">
        <v>85</v>
      </c>
      <c r="E317" t="s">
        <v>81</v>
      </c>
      <c r="F317" t="s">
        <v>77</v>
      </c>
      <c r="G317" t="s">
        <v>60</v>
      </c>
      <c r="H317" s="2">
        <v>100000</v>
      </c>
      <c r="I317" t="str">
        <f>VLOOKUP(G317,'rozdělení obchodníků'!B:D,3, )</f>
        <v>Čechy</v>
      </c>
    </row>
    <row r="318" spans="2:9" x14ac:dyDescent="0.25">
      <c r="B318" s="1">
        <v>45948</v>
      </c>
      <c r="C318">
        <v>20220013620</v>
      </c>
      <c r="D318" t="s">
        <v>85</v>
      </c>
      <c r="E318" t="s">
        <v>80</v>
      </c>
      <c r="F318" t="s">
        <v>77</v>
      </c>
      <c r="G318" t="s">
        <v>60</v>
      </c>
      <c r="H318" s="2">
        <v>100000</v>
      </c>
      <c r="I318" t="str">
        <f>VLOOKUP(G318,'rozdělení obchodníků'!B:D,3, )</f>
        <v>Čechy</v>
      </c>
    </row>
    <row r="319" spans="2:9" x14ac:dyDescent="0.25">
      <c r="B319" s="1">
        <v>45948</v>
      </c>
      <c r="C319">
        <v>20220013623</v>
      </c>
      <c r="D319" t="s">
        <v>85</v>
      </c>
      <c r="E319" t="s">
        <v>80</v>
      </c>
      <c r="F319" t="s">
        <v>77</v>
      </c>
      <c r="G319" t="s">
        <v>60</v>
      </c>
      <c r="H319" s="2">
        <v>800000</v>
      </c>
      <c r="I319" t="str">
        <f>VLOOKUP(G319,'rozdělení obchodníků'!B:D,3, )</f>
        <v>Čechy</v>
      </c>
    </row>
    <row r="320" spans="2:9" x14ac:dyDescent="0.25">
      <c r="B320" s="1">
        <v>45948</v>
      </c>
      <c r="C320">
        <v>20220013626</v>
      </c>
      <c r="D320" t="s">
        <v>85</v>
      </c>
      <c r="E320" t="s">
        <v>80</v>
      </c>
      <c r="F320" t="s">
        <v>77</v>
      </c>
      <c r="G320" t="s">
        <v>60</v>
      </c>
      <c r="H320" s="2">
        <v>600000</v>
      </c>
      <c r="I320" t="str">
        <f>VLOOKUP(G320,'rozdělení obchodníků'!B:D,3, )</f>
        <v>Čechy</v>
      </c>
    </row>
    <row r="321" spans="2:9" x14ac:dyDescent="0.25">
      <c r="B321" s="1">
        <v>45949</v>
      </c>
      <c r="C321">
        <v>20220013659</v>
      </c>
      <c r="D321" t="s">
        <v>85</v>
      </c>
      <c r="E321" t="s">
        <v>80</v>
      </c>
      <c r="F321" t="s">
        <v>77</v>
      </c>
      <c r="G321" t="s">
        <v>60</v>
      </c>
      <c r="H321" s="2">
        <v>100000</v>
      </c>
      <c r="I321" t="str">
        <f>VLOOKUP(G321,'rozdělení obchodníků'!B:D,3, )</f>
        <v>Čechy</v>
      </c>
    </row>
    <row r="322" spans="2:9" x14ac:dyDescent="0.25">
      <c r="B322" s="1">
        <v>45949</v>
      </c>
      <c r="C322">
        <v>20220013662</v>
      </c>
      <c r="D322" t="s">
        <v>85</v>
      </c>
      <c r="E322" t="s">
        <v>80</v>
      </c>
      <c r="F322" t="s">
        <v>77</v>
      </c>
      <c r="G322" t="s">
        <v>60</v>
      </c>
      <c r="H322" s="2">
        <v>100000</v>
      </c>
      <c r="I322" t="str">
        <f>VLOOKUP(G322,'rozdělení obchodníků'!B:D,3, )</f>
        <v>Čechy</v>
      </c>
    </row>
    <row r="323" spans="2:9" x14ac:dyDescent="0.25">
      <c r="B323" s="1">
        <v>45949</v>
      </c>
      <c r="C323">
        <v>20220013665</v>
      </c>
      <c r="D323" t="s">
        <v>85</v>
      </c>
      <c r="E323" t="s">
        <v>80</v>
      </c>
      <c r="F323" t="s">
        <v>77</v>
      </c>
      <c r="G323" t="s">
        <v>60</v>
      </c>
      <c r="H323" s="2">
        <v>600000</v>
      </c>
      <c r="I323" t="str">
        <f>VLOOKUP(G323,'rozdělení obchodníků'!B:D,3, )</f>
        <v>Čechy</v>
      </c>
    </row>
    <row r="324" spans="2:9" x14ac:dyDescent="0.25">
      <c r="B324" s="1">
        <v>45949</v>
      </c>
      <c r="C324">
        <v>20220013668</v>
      </c>
      <c r="D324" t="s">
        <v>85</v>
      </c>
      <c r="E324" t="s">
        <v>80</v>
      </c>
      <c r="F324" t="s">
        <v>77</v>
      </c>
      <c r="G324" t="s">
        <v>60</v>
      </c>
      <c r="H324" s="2">
        <v>750000</v>
      </c>
      <c r="I324" t="str">
        <f>VLOOKUP(G324,'rozdělení obchodníků'!B:D,3, )</f>
        <v>Čechy</v>
      </c>
    </row>
    <row r="325" spans="2:9" x14ac:dyDescent="0.25">
      <c r="B325" s="1">
        <v>45950</v>
      </c>
      <c r="C325">
        <v>20220013686</v>
      </c>
      <c r="D325" t="s">
        <v>85</v>
      </c>
      <c r="E325" t="s">
        <v>80</v>
      </c>
      <c r="F325" t="s">
        <v>77</v>
      </c>
      <c r="G325" t="s">
        <v>60</v>
      </c>
      <c r="H325" s="2">
        <v>1250000</v>
      </c>
      <c r="I325" t="str">
        <f>VLOOKUP(G325,'rozdělení obchodníků'!B:D,3, )</f>
        <v>Čechy</v>
      </c>
    </row>
    <row r="326" spans="2:9" x14ac:dyDescent="0.25">
      <c r="B326" s="1">
        <v>45950</v>
      </c>
      <c r="C326">
        <v>20220013689</v>
      </c>
      <c r="D326" t="s">
        <v>85</v>
      </c>
      <c r="E326" t="s">
        <v>80</v>
      </c>
      <c r="F326" t="s">
        <v>77</v>
      </c>
      <c r="G326" t="s">
        <v>60</v>
      </c>
      <c r="H326" s="2">
        <v>800000</v>
      </c>
      <c r="I326" t="str">
        <f>VLOOKUP(G326,'rozdělení obchodníků'!B:D,3, )</f>
        <v>Čechy</v>
      </c>
    </row>
    <row r="327" spans="2:9" x14ac:dyDescent="0.25">
      <c r="B327" s="1">
        <v>45950</v>
      </c>
      <c r="C327">
        <v>20220013704</v>
      </c>
      <c r="D327" t="s">
        <v>85</v>
      </c>
      <c r="E327" t="s">
        <v>81</v>
      </c>
      <c r="F327" t="s">
        <v>77</v>
      </c>
      <c r="G327" t="s">
        <v>60</v>
      </c>
      <c r="H327" s="2">
        <v>100000</v>
      </c>
      <c r="I327" t="str">
        <f>VLOOKUP(G327,'rozdělení obchodníků'!B:D,3, )</f>
        <v>Čechy</v>
      </c>
    </row>
    <row r="328" spans="2:9" x14ac:dyDescent="0.25">
      <c r="B328" s="1">
        <v>45950</v>
      </c>
      <c r="C328">
        <v>20220013707</v>
      </c>
      <c r="D328" t="s">
        <v>85</v>
      </c>
      <c r="E328" t="s">
        <v>81</v>
      </c>
      <c r="F328" t="s">
        <v>77</v>
      </c>
      <c r="G328" t="s">
        <v>60</v>
      </c>
      <c r="H328" s="2">
        <v>100000</v>
      </c>
      <c r="I328" t="str">
        <f>VLOOKUP(G328,'rozdělení obchodníků'!B:D,3, )</f>
        <v>Čechy</v>
      </c>
    </row>
    <row r="329" spans="2:9" x14ac:dyDescent="0.25">
      <c r="B329" s="1">
        <v>45951</v>
      </c>
      <c r="C329">
        <v>20220013731</v>
      </c>
      <c r="D329" t="s">
        <v>85</v>
      </c>
      <c r="E329" t="s">
        <v>80</v>
      </c>
      <c r="F329" t="s">
        <v>77</v>
      </c>
      <c r="G329" t="s">
        <v>60</v>
      </c>
      <c r="H329" s="2">
        <v>100000</v>
      </c>
      <c r="I329" t="str">
        <f>VLOOKUP(G329,'rozdělení obchodníků'!B:D,3, )</f>
        <v>Čechy</v>
      </c>
    </row>
    <row r="330" spans="2:9" x14ac:dyDescent="0.25">
      <c r="B330" s="1">
        <v>45951</v>
      </c>
      <c r="C330">
        <v>20220013734</v>
      </c>
      <c r="D330" t="s">
        <v>85</v>
      </c>
      <c r="E330" t="s">
        <v>80</v>
      </c>
      <c r="F330" t="s">
        <v>77</v>
      </c>
      <c r="G330" t="s">
        <v>60</v>
      </c>
      <c r="H330" s="2">
        <v>1250000</v>
      </c>
      <c r="I330" t="str">
        <f>VLOOKUP(G330,'rozdělení obchodníků'!B:D,3, )</f>
        <v>Čechy</v>
      </c>
    </row>
    <row r="331" spans="2:9" x14ac:dyDescent="0.25">
      <c r="B331" s="1">
        <v>45951</v>
      </c>
      <c r="C331">
        <v>20220013749</v>
      </c>
      <c r="D331" t="s">
        <v>85</v>
      </c>
      <c r="E331" t="s">
        <v>80</v>
      </c>
      <c r="F331" t="s">
        <v>77</v>
      </c>
      <c r="G331" t="s">
        <v>60</v>
      </c>
      <c r="H331" s="2">
        <v>100000</v>
      </c>
      <c r="I331" t="str">
        <f>VLOOKUP(G331,'rozdělení obchodníků'!B:D,3, )</f>
        <v>Čechy</v>
      </c>
    </row>
    <row r="332" spans="2:9" x14ac:dyDescent="0.25">
      <c r="B332" s="1">
        <v>45951</v>
      </c>
      <c r="C332">
        <v>20220013752</v>
      </c>
      <c r="D332" t="s">
        <v>85</v>
      </c>
      <c r="E332" t="s">
        <v>80</v>
      </c>
      <c r="F332" t="s">
        <v>77</v>
      </c>
      <c r="G332" t="s">
        <v>60</v>
      </c>
      <c r="H332" s="2">
        <v>100000</v>
      </c>
      <c r="I332" t="str">
        <f>VLOOKUP(G332,'rozdělení obchodníků'!B:D,3, )</f>
        <v>Čechy</v>
      </c>
    </row>
    <row r="333" spans="2:9" x14ac:dyDescent="0.25">
      <c r="B333" s="1">
        <v>45952</v>
      </c>
      <c r="C333">
        <v>20220013800</v>
      </c>
      <c r="D333" t="s">
        <v>85</v>
      </c>
      <c r="E333" t="s">
        <v>81</v>
      </c>
      <c r="F333" t="s">
        <v>77</v>
      </c>
      <c r="G333" t="s">
        <v>60</v>
      </c>
      <c r="H333" s="2">
        <v>1000000</v>
      </c>
      <c r="I333" t="str">
        <f>VLOOKUP(G333,'rozdělení obchodníků'!B:D,3, )</f>
        <v>Čechy</v>
      </c>
    </row>
    <row r="334" spans="2:9" x14ac:dyDescent="0.25">
      <c r="B334" s="1">
        <v>45952</v>
      </c>
      <c r="C334">
        <v>20220013803</v>
      </c>
      <c r="D334" t="s">
        <v>85</v>
      </c>
      <c r="E334" t="s">
        <v>80</v>
      </c>
      <c r="F334" t="s">
        <v>77</v>
      </c>
      <c r="G334" t="s">
        <v>60</v>
      </c>
      <c r="H334" s="2">
        <v>100000</v>
      </c>
      <c r="I334" t="str">
        <f>VLOOKUP(G334,'rozdělení obchodníků'!B:D,3, )</f>
        <v>Čechy</v>
      </c>
    </row>
    <row r="335" spans="2:9" x14ac:dyDescent="0.25">
      <c r="B335" s="1">
        <v>45952</v>
      </c>
      <c r="C335">
        <v>20220013806</v>
      </c>
      <c r="D335" t="s">
        <v>85</v>
      </c>
      <c r="E335" t="s">
        <v>80</v>
      </c>
      <c r="F335" t="s">
        <v>77</v>
      </c>
      <c r="G335" t="s">
        <v>60</v>
      </c>
      <c r="H335" s="2">
        <v>100000</v>
      </c>
      <c r="I335" t="str">
        <f>VLOOKUP(G335,'rozdělení obchodníků'!B:D,3, )</f>
        <v>Čechy</v>
      </c>
    </row>
    <row r="336" spans="2:9" x14ac:dyDescent="0.25">
      <c r="B336" s="1">
        <v>45953</v>
      </c>
      <c r="C336">
        <v>20220013827</v>
      </c>
      <c r="D336" t="s">
        <v>85</v>
      </c>
      <c r="E336" t="s">
        <v>81</v>
      </c>
      <c r="F336" t="s">
        <v>77</v>
      </c>
      <c r="G336" t="s">
        <v>60</v>
      </c>
      <c r="H336" s="2">
        <v>1250000</v>
      </c>
      <c r="I336" t="str">
        <f>VLOOKUP(G336,'rozdělení obchodníků'!B:D,3, )</f>
        <v>Čechy</v>
      </c>
    </row>
    <row r="337" spans="2:9" x14ac:dyDescent="0.25">
      <c r="B337" s="1">
        <v>45954</v>
      </c>
      <c r="C337">
        <v>20220013839</v>
      </c>
      <c r="D337" t="s">
        <v>85</v>
      </c>
      <c r="E337" t="s">
        <v>81</v>
      </c>
      <c r="F337" t="s">
        <v>77</v>
      </c>
      <c r="G337" t="s">
        <v>60</v>
      </c>
      <c r="H337" s="2">
        <v>100000</v>
      </c>
      <c r="I337" t="str">
        <f>VLOOKUP(G337,'rozdělení obchodníků'!B:D,3, )</f>
        <v>Čechy</v>
      </c>
    </row>
    <row r="338" spans="2:9" x14ac:dyDescent="0.25">
      <c r="B338" s="1">
        <v>45955</v>
      </c>
      <c r="C338">
        <v>20220013851</v>
      </c>
      <c r="D338" t="s">
        <v>85</v>
      </c>
      <c r="E338" t="s">
        <v>80</v>
      </c>
      <c r="F338" t="s">
        <v>77</v>
      </c>
      <c r="G338" t="s">
        <v>60</v>
      </c>
      <c r="H338" s="2">
        <v>400000</v>
      </c>
      <c r="I338" t="str">
        <f>VLOOKUP(G338,'rozdělení obchodníků'!B:D,3, )</f>
        <v>Čechy</v>
      </c>
    </row>
    <row r="339" spans="2:9" x14ac:dyDescent="0.25">
      <c r="B339" s="1">
        <v>45956</v>
      </c>
      <c r="C339">
        <v>20220013890</v>
      </c>
      <c r="D339" t="s">
        <v>85</v>
      </c>
      <c r="E339" t="s">
        <v>80</v>
      </c>
      <c r="F339" t="s">
        <v>77</v>
      </c>
      <c r="G339" t="s">
        <v>60</v>
      </c>
      <c r="H339" s="2">
        <v>750000</v>
      </c>
      <c r="I339" t="str">
        <f>VLOOKUP(G339,'rozdělení obchodníků'!B:D,3, )</f>
        <v>Čechy</v>
      </c>
    </row>
    <row r="340" spans="2:9" x14ac:dyDescent="0.25">
      <c r="B340" s="1">
        <v>45957</v>
      </c>
      <c r="C340">
        <v>20220013920</v>
      </c>
      <c r="D340" t="s">
        <v>85</v>
      </c>
      <c r="E340" t="s">
        <v>81</v>
      </c>
      <c r="F340" t="s">
        <v>77</v>
      </c>
      <c r="G340" t="s">
        <v>60</v>
      </c>
      <c r="H340" s="2">
        <v>100000</v>
      </c>
      <c r="I340" t="str">
        <f>VLOOKUP(G340,'rozdělení obchodníků'!B:D,3, )</f>
        <v>Čechy</v>
      </c>
    </row>
    <row r="341" spans="2:9" x14ac:dyDescent="0.25">
      <c r="B341" s="1">
        <v>45934</v>
      </c>
      <c r="C341">
        <v>20220012936</v>
      </c>
      <c r="D341" t="s">
        <v>85</v>
      </c>
      <c r="E341" t="s">
        <v>82</v>
      </c>
      <c r="F341" t="s">
        <v>77</v>
      </c>
      <c r="G341" t="s">
        <v>62</v>
      </c>
      <c r="H341" s="2">
        <v>500000</v>
      </c>
      <c r="I341" t="str">
        <f>VLOOKUP(G341,'rozdělení obchodníků'!B:D,3, )</f>
        <v>Čechy</v>
      </c>
    </row>
    <row r="342" spans="2:9" x14ac:dyDescent="0.25">
      <c r="B342" s="1">
        <v>45936</v>
      </c>
      <c r="C342">
        <v>20220013032</v>
      </c>
      <c r="D342" t="s">
        <v>85</v>
      </c>
      <c r="E342" t="s">
        <v>80</v>
      </c>
      <c r="F342" t="s">
        <v>77</v>
      </c>
      <c r="G342" t="s">
        <v>62</v>
      </c>
      <c r="H342" s="2">
        <v>100000</v>
      </c>
      <c r="I342" t="str">
        <f>VLOOKUP(G342,'rozdělení obchodníků'!B:D,3, )</f>
        <v>Čechy</v>
      </c>
    </row>
    <row r="343" spans="2:9" x14ac:dyDescent="0.25">
      <c r="B343" s="1">
        <v>45936</v>
      </c>
      <c r="C343">
        <v>20220013035</v>
      </c>
      <c r="D343" t="s">
        <v>85</v>
      </c>
      <c r="E343" t="s">
        <v>80</v>
      </c>
      <c r="F343" t="s">
        <v>77</v>
      </c>
      <c r="G343" t="s">
        <v>62</v>
      </c>
      <c r="H343" s="2">
        <v>100000</v>
      </c>
      <c r="I343" t="str">
        <f>VLOOKUP(G343,'rozdělení obchodníků'!B:D,3, )</f>
        <v>Čechy</v>
      </c>
    </row>
    <row r="344" spans="2:9" x14ac:dyDescent="0.25">
      <c r="B344" s="1">
        <v>45936</v>
      </c>
      <c r="C344">
        <v>20220013038</v>
      </c>
      <c r="D344" t="s">
        <v>85</v>
      </c>
      <c r="E344" t="s">
        <v>81</v>
      </c>
      <c r="F344" t="s">
        <v>77</v>
      </c>
      <c r="G344" t="s">
        <v>62</v>
      </c>
      <c r="H344" s="2">
        <v>100000</v>
      </c>
      <c r="I344" t="str">
        <f>VLOOKUP(G344,'rozdělení obchodníků'!B:D,3, )</f>
        <v>Čechy</v>
      </c>
    </row>
    <row r="345" spans="2:9" x14ac:dyDescent="0.25">
      <c r="B345" s="1">
        <v>45936</v>
      </c>
      <c r="C345">
        <v>20220013041</v>
      </c>
      <c r="D345" t="s">
        <v>85</v>
      </c>
      <c r="E345" t="s">
        <v>81</v>
      </c>
      <c r="F345" t="s">
        <v>77</v>
      </c>
      <c r="G345" t="s">
        <v>62</v>
      </c>
      <c r="H345" s="2">
        <v>100000</v>
      </c>
      <c r="I345" t="str">
        <f>VLOOKUP(G345,'rozdělení obchodníků'!B:D,3, )</f>
        <v>Čechy</v>
      </c>
    </row>
    <row r="346" spans="2:9" x14ac:dyDescent="0.25">
      <c r="B346" s="1">
        <v>45937</v>
      </c>
      <c r="C346">
        <v>20220013122</v>
      </c>
      <c r="D346" t="s">
        <v>85</v>
      </c>
      <c r="E346" t="s">
        <v>82</v>
      </c>
      <c r="F346" t="s">
        <v>77</v>
      </c>
      <c r="G346" t="s">
        <v>62</v>
      </c>
      <c r="H346" s="2">
        <v>750000</v>
      </c>
      <c r="I346" t="str">
        <f>VLOOKUP(G346,'rozdělení obchodníků'!B:D,3, )</f>
        <v>Čechy</v>
      </c>
    </row>
    <row r="347" spans="2:9" x14ac:dyDescent="0.25">
      <c r="B347" s="1">
        <v>45938</v>
      </c>
      <c r="C347">
        <v>20220013341</v>
      </c>
      <c r="D347" t="s">
        <v>85</v>
      </c>
      <c r="E347" t="s">
        <v>81</v>
      </c>
      <c r="F347" t="s">
        <v>77</v>
      </c>
      <c r="G347" t="s">
        <v>62</v>
      </c>
      <c r="H347" s="2">
        <v>750000</v>
      </c>
      <c r="I347" t="str">
        <f>VLOOKUP(G347,'rozdělení obchodníků'!B:D,3, )</f>
        <v>Čechy</v>
      </c>
    </row>
    <row r="348" spans="2:9" x14ac:dyDescent="0.25">
      <c r="B348" s="1">
        <v>45938</v>
      </c>
      <c r="C348">
        <v>20220013344</v>
      </c>
      <c r="D348" t="s">
        <v>85</v>
      </c>
      <c r="E348" t="s">
        <v>80</v>
      </c>
      <c r="F348" t="s">
        <v>77</v>
      </c>
      <c r="G348" t="s">
        <v>62</v>
      </c>
      <c r="H348" s="2">
        <v>1000000</v>
      </c>
      <c r="I348" t="str">
        <f>VLOOKUP(G348,'rozdělení obchodníků'!B:D,3, )</f>
        <v>Čechy</v>
      </c>
    </row>
    <row r="349" spans="2:9" x14ac:dyDescent="0.25">
      <c r="B349" s="1">
        <v>45938</v>
      </c>
      <c r="C349">
        <v>20220013347</v>
      </c>
      <c r="D349" t="s">
        <v>85</v>
      </c>
      <c r="E349" t="s">
        <v>80</v>
      </c>
      <c r="F349" t="s">
        <v>77</v>
      </c>
      <c r="G349" t="s">
        <v>62</v>
      </c>
      <c r="H349" s="2">
        <v>100000</v>
      </c>
      <c r="I349" t="str">
        <f>VLOOKUP(G349,'rozdělení obchodníků'!B:D,3, )</f>
        <v>Čechy</v>
      </c>
    </row>
    <row r="350" spans="2:9" x14ac:dyDescent="0.25">
      <c r="B350" s="1">
        <v>45938</v>
      </c>
      <c r="C350">
        <v>20220013350</v>
      </c>
      <c r="D350" t="s">
        <v>85</v>
      </c>
      <c r="E350" t="s">
        <v>81</v>
      </c>
      <c r="F350" t="s">
        <v>77</v>
      </c>
      <c r="G350" t="s">
        <v>62</v>
      </c>
      <c r="H350" s="2">
        <v>750000</v>
      </c>
      <c r="I350" t="str">
        <f>VLOOKUP(G350,'rozdělení obchodníků'!B:D,3, )</f>
        <v>Čechy</v>
      </c>
    </row>
    <row r="351" spans="2:9" x14ac:dyDescent="0.25">
      <c r="B351" s="1">
        <v>45938</v>
      </c>
      <c r="C351">
        <v>20220013353</v>
      </c>
      <c r="D351" t="s">
        <v>85</v>
      </c>
      <c r="E351" t="s">
        <v>80</v>
      </c>
      <c r="F351" t="s">
        <v>77</v>
      </c>
      <c r="G351" t="s">
        <v>62</v>
      </c>
      <c r="H351" s="2">
        <v>1000000</v>
      </c>
      <c r="I351" t="str">
        <f>VLOOKUP(G351,'rozdělení obchodníků'!B:D,3, )</f>
        <v>Čechy</v>
      </c>
    </row>
    <row r="352" spans="2:9" x14ac:dyDescent="0.25">
      <c r="B352" s="1">
        <v>45939</v>
      </c>
      <c r="C352">
        <v>20220013368</v>
      </c>
      <c r="D352" t="s">
        <v>85</v>
      </c>
      <c r="E352" t="s">
        <v>81</v>
      </c>
      <c r="F352" t="s">
        <v>77</v>
      </c>
      <c r="G352" t="s">
        <v>62</v>
      </c>
      <c r="H352" s="2">
        <v>750000</v>
      </c>
      <c r="I352" t="str">
        <f>VLOOKUP(G352,'rozdělení obchodníků'!B:D,3, )</f>
        <v>Čechy</v>
      </c>
    </row>
    <row r="353" spans="2:9" x14ac:dyDescent="0.25">
      <c r="B353" s="1">
        <v>45940</v>
      </c>
      <c r="C353">
        <v>20220013401</v>
      </c>
      <c r="D353" t="s">
        <v>85</v>
      </c>
      <c r="E353" t="s">
        <v>80</v>
      </c>
      <c r="F353" t="s">
        <v>77</v>
      </c>
      <c r="G353" t="s">
        <v>62</v>
      </c>
      <c r="H353" s="2">
        <v>750000</v>
      </c>
      <c r="I353" t="str">
        <f>VLOOKUP(G353,'rozdělení obchodníků'!B:D,3, )</f>
        <v>Čechy</v>
      </c>
    </row>
    <row r="354" spans="2:9" x14ac:dyDescent="0.25">
      <c r="B354" s="1">
        <v>45932</v>
      </c>
      <c r="C354">
        <v>20220012579</v>
      </c>
      <c r="D354" t="s">
        <v>85</v>
      </c>
      <c r="E354" t="s">
        <v>80</v>
      </c>
      <c r="F354" t="s">
        <v>77</v>
      </c>
      <c r="G354" t="s">
        <v>2</v>
      </c>
      <c r="H354" s="2">
        <v>300000</v>
      </c>
      <c r="I354" t="str">
        <f>VLOOKUP(G354,'rozdělení obchodníků'!B:D,3, )</f>
        <v>Čechy</v>
      </c>
    </row>
    <row r="355" spans="2:9" x14ac:dyDescent="0.25">
      <c r="B355" s="1">
        <v>45932</v>
      </c>
      <c r="C355">
        <v>20220012609</v>
      </c>
      <c r="D355" t="s">
        <v>85</v>
      </c>
      <c r="E355" t="s">
        <v>80</v>
      </c>
      <c r="F355" t="s">
        <v>77</v>
      </c>
      <c r="G355" t="s">
        <v>2</v>
      </c>
      <c r="H355" s="2">
        <v>100000</v>
      </c>
      <c r="I355" t="str">
        <f>VLOOKUP(G355,'rozdělení obchodníků'!B:D,3, )</f>
        <v>Čechy</v>
      </c>
    </row>
    <row r="356" spans="2:9" x14ac:dyDescent="0.25">
      <c r="B356" s="1">
        <v>45932</v>
      </c>
      <c r="C356">
        <v>20220012612</v>
      </c>
      <c r="D356" t="s">
        <v>85</v>
      </c>
      <c r="E356" t="s">
        <v>80</v>
      </c>
      <c r="F356" t="s">
        <v>77</v>
      </c>
      <c r="G356" t="s">
        <v>2</v>
      </c>
      <c r="H356" s="2">
        <v>1000000</v>
      </c>
      <c r="I356" t="str">
        <f>VLOOKUP(G356,'rozdělení obchodníků'!B:D,3, )</f>
        <v>Čechy</v>
      </c>
    </row>
    <row r="357" spans="2:9" x14ac:dyDescent="0.25">
      <c r="B357" s="1">
        <v>45932</v>
      </c>
      <c r="C357">
        <v>20220012615</v>
      </c>
      <c r="D357" t="s">
        <v>85</v>
      </c>
      <c r="E357" t="s">
        <v>81</v>
      </c>
      <c r="F357" t="s">
        <v>77</v>
      </c>
      <c r="G357" t="s">
        <v>2</v>
      </c>
      <c r="H357" s="2">
        <v>250000</v>
      </c>
      <c r="I357" t="str">
        <f>VLOOKUP(G357,'rozdělení obchodníků'!B:D,3, )</f>
        <v>Čechy</v>
      </c>
    </row>
    <row r="358" spans="2:9" x14ac:dyDescent="0.25">
      <c r="B358" s="1">
        <v>45932</v>
      </c>
      <c r="C358">
        <v>20220012645</v>
      </c>
      <c r="D358" t="s">
        <v>85</v>
      </c>
      <c r="E358" t="s">
        <v>82</v>
      </c>
      <c r="F358" t="s">
        <v>77</v>
      </c>
      <c r="G358" t="s">
        <v>2</v>
      </c>
      <c r="H358" s="2">
        <v>1650000</v>
      </c>
      <c r="I358" t="str">
        <f>VLOOKUP(G358,'rozdělení obchodníků'!B:D,3, )</f>
        <v>Čechy</v>
      </c>
    </row>
    <row r="359" spans="2:9" x14ac:dyDescent="0.25">
      <c r="B359" s="1">
        <v>45932</v>
      </c>
      <c r="C359">
        <v>20220012648</v>
      </c>
      <c r="D359" t="s">
        <v>85</v>
      </c>
      <c r="E359" t="s">
        <v>82</v>
      </c>
      <c r="F359" t="s">
        <v>77</v>
      </c>
      <c r="G359" t="s">
        <v>2</v>
      </c>
      <c r="H359" s="2">
        <v>450000</v>
      </c>
      <c r="I359" t="str">
        <f>VLOOKUP(G359,'rozdělení obchodníků'!B:D,3, )</f>
        <v>Čechy</v>
      </c>
    </row>
    <row r="360" spans="2:9" x14ac:dyDescent="0.25">
      <c r="B360" s="1">
        <v>45932</v>
      </c>
      <c r="C360">
        <v>20220012651</v>
      </c>
      <c r="D360" t="s">
        <v>85</v>
      </c>
      <c r="E360" t="s">
        <v>82</v>
      </c>
      <c r="F360" t="s">
        <v>77</v>
      </c>
      <c r="G360" t="s">
        <v>2</v>
      </c>
      <c r="H360" s="2">
        <v>450000</v>
      </c>
      <c r="I360" t="str">
        <f>VLOOKUP(G360,'rozdělení obchodníků'!B:D,3, )</f>
        <v>Čechy</v>
      </c>
    </row>
    <row r="361" spans="2:9" x14ac:dyDescent="0.25">
      <c r="B361" s="1">
        <v>45932</v>
      </c>
      <c r="C361">
        <v>20220012675</v>
      </c>
      <c r="D361" t="s">
        <v>85</v>
      </c>
      <c r="E361" t="s">
        <v>82</v>
      </c>
      <c r="F361" t="s">
        <v>77</v>
      </c>
      <c r="G361" t="s">
        <v>2</v>
      </c>
      <c r="H361" s="2">
        <v>250000</v>
      </c>
      <c r="I361" t="str">
        <f>VLOOKUP(G361,'rozdělení obchodníků'!B:D,3, )</f>
        <v>Čechy</v>
      </c>
    </row>
    <row r="362" spans="2:9" x14ac:dyDescent="0.25">
      <c r="B362" s="1">
        <v>45932</v>
      </c>
      <c r="C362">
        <v>20220012678</v>
      </c>
      <c r="D362" t="s">
        <v>85</v>
      </c>
      <c r="E362" t="s">
        <v>82</v>
      </c>
      <c r="F362" t="s">
        <v>77</v>
      </c>
      <c r="G362" t="s">
        <v>2</v>
      </c>
      <c r="H362" s="2">
        <v>250000</v>
      </c>
      <c r="I362" t="str">
        <f>VLOOKUP(G362,'rozdělení obchodníků'!B:D,3, )</f>
        <v>Čechy</v>
      </c>
    </row>
    <row r="363" spans="2:9" x14ac:dyDescent="0.25">
      <c r="B363" s="1">
        <v>45932</v>
      </c>
      <c r="C363">
        <v>20220012681</v>
      </c>
      <c r="D363" t="s">
        <v>85</v>
      </c>
      <c r="E363" t="s">
        <v>82</v>
      </c>
      <c r="F363" t="s">
        <v>77</v>
      </c>
      <c r="G363" t="s">
        <v>2</v>
      </c>
      <c r="H363" s="2">
        <v>1000000</v>
      </c>
      <c r="I363" t="str">
        <f>VLOOKUP(G363,'rozdělení obchodníků'!B:D,3, )</f>
        <v>Čechy</v>
      </c>
    </row>
    <row r="364" spans="2:9" x14ac:dyDescent="0.25">
      <c r="B364" s="1">
        <v>45932</v>
      </c>
      <c r="C364">
        <v>20220012684</v>
      </c>
      <c r="D364" t="s">
        <v>85</v>
      </c>
      <c r="E364" t="s">
        <v>82</v>
      </c>
      <c r="F364" t="s">
        <v>77</v>
      </c>
      <c r="G364" t="s">
        <v>2</v>
      </c>
      <c r="H364" s="2">
        <v>100000</v>
      </c>
      <c r="I364" t="str">
        <f>VLOOKUP(G364,'rozdělení obchodníků'!B:D,3, )</f>
        <v>Čechy</v>
      </c>
    </row>
    <row r="365" spans="2:9" x14ac:dyDescent="0.25">
      <c r="B365" s="1">
        <v>45932</v>
      </c>
      <c r="C365">
        <v>20220012687</v>
      </c>
      <c r="D365" t="s">
        <v>85</v>
      </c>
      <c r="E365" t="s">
        <v>82</v>
      </c>
      <c r="F365" t="s">
        <v>77</v>
      </c>
      <c r="G365" t="s">
        <v>2</v>
      </c>
      <c r="H365" s="2">
        <v>100000</v>
      </c>
      <c r="I365" t="str">
        <f>VLOOKUP(G365,'rozdělení obchodníků'!B:D,3, )</f>
        <v>Čechy</v>
      </c>
    </row>
    <row r="366" spans="2:9" x14ac:dyDescent="0.25">
      <c r="B366" s="1">
        <v>45936</v>
      </c>
      <c r="C366">
        <v>20220012993</v>
      </c>
      <c r="D366" t="s">
        <v>85</v>
      </c>
      <c r="E366" t="s">
        <v>82</v>
      </c>
      <c r="F366" t="s">
        <v>77</v>
      </c>
      <c r="G366" t="s">
        <v>2</v>
      </c>
      <c r="H366" s="2">
        <v>100000</v>
      </c>
      <c r="I366" t="str">
        <f>VLOOKUP(G366,'rozdělení obchodníků'!B:D,3, )</f>
        <v>Čechy</v>
      </c>
    </row>
    <row r="367" spans="2:9" x14ac:dyDescent="0.25">
      <c r="B367" s="1">
        <v>45936</v>
      </c>
      <c r="C367">
        <v>20220013002</v>
      </c>
      <c r="D367" t="s">
        <v>85</v>
      </c>
      <c r="E367" t="s">
        <v>80</v>
      </c>
      <c r="F367" t="s">
        <v>77</v>
      </c>
      <c r="G367" t="s">
        <v>2</v>
      </c>
      <c r="H367" s="2">
        <v>100000</v>
      </c>
      <c r="I367" t="str">
        <f>VLOOKUP(G367,'rozdělení obchodníků'!B:D,3, )</f>
        <v>Čechy</v>
      </c>
    </row>
    <row r="368" spans="2:9" x14ac:dyDescent="0.25">
      <c r="B368" s="1">
        <v>45942</v>
      </c>
      <c r="C368">
        <v>20220013416</v>
      </c>
      <c r="D368" t="s">
        <v>85</v>
      </c>
      <c r="E368" t="s">
        <v>80</v>
      </c>
      <c r="F368" t="s">
        <v>77</v>
      </c>
      <c r="G368" t="s">
        <v>2</v>
      </c>
      <c r="H368" s="2">
        <v>750000</v>
      </c>
      <c r="I368" t="str">
        <f>VLOOKUP(G368,'rozdělení obchodníků'!B:D,3, )</f>
        <v>Čechy</v>
      </c>
    </row>
    <row r="369" spans="2:9" x14ac:dyDescent="0.25">
      <c r="B369" s="1">
        <v>45942</v>
      </c>
      <c r="C369">
        <v>20220013437</v>
      </c>
      <c r="D369" t="s">
        <v>85</v>
      </c>
      <c r="E369" t="s">
        <v>81</v>
      </c>
      <c r="F369" t="s">
        <v>77</v>
      </c>
      <c r="G369" t="s">
        <v>2</v>
      </c>
      <c r="H369" s="2">
        <v>1000000</v>
      </c>
      <c r="I369" t="str">
        <f>VLOOKUP(G369,'rozdělení obchodníků'!B:D,3, )</f>
        <v>Čechy</v>
      </c>
    </row>
    <row r="370" spans="2:9" x14ac:dyDescent="0.25">
      <c r="B370" s="1">
        <v>45958</v>
      </c>
      <c r="C370">
        <v>20220013923</v>
      </c>
      <c r="D370" t="s">
        <v>85</v>
      </c>
      <c r="E370" t="s">
        <v>80</v>
      </c>
      <c r="F370" t="s">
        <v>77</v>
      </c>
      <c r="G370" t="s">
        <v>2</v>
      </c>
      <c r="H370" s="2">
        <v>300000</v>
      </c>
      <c r="I370" t="str">
        <f>VLOOKUP(G370,'rozdělení obchodníků'!B:D,3, )</f>
        <v>Čechy</v>
      </c>
    </row>
    <row r="371" spans="2:9" x14ac:dyDescent="0.25">
      <c r="B371" s="1">
        <v>45958</v>
      </c>
      <c r="C371">
        <v>20220013929</v>
      </c>
      <c r="D371" t="s">
        <v>85</v>
      </c>
      <c r="E371" t="s">
        <v>81</v>
      </c>
      <c r="F371" t="s">
        <v>77</v>
      </c>
      <c r="G371" t="s">
        <v>2</v>
      </c>
      <c r="H371" s="2">
        <v>300000</v>
      </c>
      <c r="I371" t="str">
        <f>VLOOKUP(G371,'rozdělení obchodníků'!B:D,3, )</f>
        <v>Čechy</v>
      </c>
    </row>
    <row r="372" spans="2:9" x14ac:dyDescent="0.25">
      <c r="B372" s="1">
        <v>45958</v>
      </c>
      <c r="C372">
        <v>20220013935</v>
      </c>
      <c r="D372" t="s">
        <v>85</v>
      </c>
      <c r="E372" t="s">
        <v>80</v>
      </c>
      <c r="F372" t="s">
        <v>77</v>
      </c>
      <c r="G372" t="s">
        <v>2</v>
      </c>
      <c r="H372" s="2">
        <v>500000</v>
      </c>
      <c r="I372" t="str">
        <f>VLOOKUP(G372,'rozdělení obchodníků'!B:D,3, )</f>
        <v>Čechy</v>
      </c>
    </row>
    <row r="373" spans="2:9" x14ac:dyDescent="0.25">
      <c r="B373" s="1">
        <v>45958</v>
      </c>
      <c r="C373">
        <v>20220013941</v>
      </c>
      <c r="D373" t="s">
        <v>85</v>
      </c>
      <c r="E373" t="s">
        <v>81</v>
      </c>
      <c r="F373" t="s">
        <v>77</v>
      </c>
      <c r="G373" t="s">
        <v>2</v>
      </c>
      <c r="H373" s="2">
        <v>200000</v>
      </c>
      <c r="I373" t="str">
        <f>VLOOKUP(G373,'rozdělení obchodníků'!B:D,3, )</f>
        <v>Čechy</v>
      </c>
    </row>
    <row r="374" spans="2:9" x14ac:dyDescent="0.25">
      <c r="B374" s="1">
        <v>45933</v>
      </c>
      <c r="C374">
        <v>20220012723</v>
      </c>
      <c r="D374" t="s">
        <v>85</v>
      </c>
      <c r="E374" t="s">
        <v>81</v>
      </c>
      <c r="F374" t="s">
        <v>77</v>
      </c>
      <c r="G374" t="s">
        <v>64</v>
      </c>
      <c r="H374" s="2">
        <v>1000000</v>
      </c>
      <c r="I374" t="str">
        <f>VLOOKUP(G374,'rozdělení obchodníků'!B:D,3, )</f>
        <v>Praha</v>
      </c>
    </row>
    <row r="375" spans="2:9" x14ac:dyDescent="0.25">
      <c r="B375" s="1">
        <v>45933</v>
      </c>
      <c r="C375">
        <v>20220012726</v>
      </c>
      <c r="D375" t="s">
        <v>85</v>
      </c>
      <c r="E375" t="s">
        <v>81</v>
      </c>
      <c r="F375" t="s">
        <v>77</v>
      </c>
      <c r="G375" t="s">
        <v>64</v>
      </c>
      <c r="H375" s="2">
        <v>300000</v>
      </c>
      <c r="I375" t="str">
        <f>VLOOKUP(G375,'rozdělení obchodníků'!B:D,3, )</f>
        <v>Praha</v>
      </c>
    </row>
    <row r="376" spans="2:9" x14ac:dyDescent="0.25">
      <c r="B376" s="1">
        <v>45934</v>
      </c>
      <c r="C376">
        <v>20220012774</v>
      </c>
      <c r="D376" t="s">
        <v>85</v>
      </c>
      <c r="E376" t="s">
        <v>81</v>
      </c>
      <c r="F376" t="s">
        <v>77</v>
      </c>
      <c r="G376" t="s">
        <v>64</v>
      </c>
      <c r="H376" s="2">
        <v>1350000</v>
      </c>
      <c r="I376" t="str">
        <f>VLOOKUP(G376,'rozdělení obchodníků'!B:D,3, )</f>
        <v>Praha</v>
      </c>
    </row>
    <row r="377" spans="2:9" x14ac:dyDescent="0.25">
      <c r="B377" s="1">
        <v>45934</v>
      </c>
      <c r="C377">
        <v>20220012909</v>
      </c>
      <c r="D377" t="s">
        <v>85</v>
      </c>
      <c r="E377" t="s">
        <v>82</v>
      </c>
      <c r="F377" t="s">
        <v>77</v>
      </c>
      <c r="G377" t="s">
        <v>64</v>
      </c>
      <c r="H377" s="2">
        <v>100000</v>
      </c>
      <c r="I377" t="str">
        <f>VLOOKUP(G377,'rozdělení obchodníků'!B:D,3, )</f>
        <v>Praha</v>
      </c>
    </row>
    <row r="378" spans="2:9" x14ac:dyDescent="0.25">
      <c r="B378" s="1">
        <v>45934</v>
      </c>
      <c r="C378">
        <v>20220012912</v>
      </c>
      <c r="D378" t="s">
        <v>85</v>
      </c>
      <c r="E378" t="s">
        <v>82</v>
      </c>
      <c r="F378" t="s">
        <v>77</v>
      </c>
      <c r="G378" t="s">
        <v>64</v>
      </c>
      <c r="H378" s="2">
        <v>1000000</v>
      </c>
      <c r="I378" t="str">
        <f>VLOOKUP(G378,'rozdělení obchodníků'!B:D,3, )</f>
        <v>Praha</v>
      </c>
    </row>
    <row r="379" spans="2:9" x14ac:dyDescent="0.25">
      <c r="B379" s="1">
        <v>45934</v>
      </c>
      <c r="C379">
        <v>20220012921</v>
      </c>
      <c r="D379" t="s">
        <v>85</v>
      </c>
      <c r="E379" t="s">
        <v>81</v>
      </c>
      <c r="F379" t="s">
        <v>77</v>
      </c>
      <c r="G379" t="s">
        <v>64</v>
      </c>
      <c r="H379" s="2">
        <v>1000000</v>
      </c>
      <c r="I379" t="str">
        <f>VLOOKUP(G379,'rozdělení obchodníků'!B:D,3, )</f>
        <v>Praha</v>
      </c>
    </row>
    <row r="380" spans="2:9" x14ac:dyDescent="0.25">
      <c r="B380" s="1">
        <v>45934</v>
      </c>
      <c r="C380">
        <v>20220012924</v>
      </c>
      <c r="D380" t="s">
        <v>85</v>
      </c>
      <c r="E380" t="s">
        <v>81</v>
      </c>
      <c r="F380" t="s">
        <v>77</v>
      </c>
      <c r="G380" t="s">
        <v>64</v>
      </c>
      <c r="H380" s="2">
        <v>1000000</v>
      </c>
      <c r="I380" t="str">
        <f>VLOOKUP(G380,'rozdělení obchodníků'!B:D,3, )</f>
        <v>Praha</v>
      </c>
    </row>
    <row r="381" spans="2:9" x14ac:dyDescent="0.25">
      <c r="B381" s="1">
        <v>45934</v>
      </c>
      <c r="C381">
        <v>20220012927</v>
      </c>
      <c r="D381" t="s">
        <v>85</v>
      </c>
      <c r="E381" t="s">
        <v>81</v>
      </c>
      <c r="F381" t="s">
        <v>77</v>
      </c>
      <c r="G381" t="s">
        <v>64</v>
      </c>
      <c r="H381" s="2">
        <v>200000</v>
      </c>
      <c r="I381" t="str">
        <f>VLOOKUP(G381,'rozdělení obchodníků'!B:D,3, )</f>
        <v>Praha</v>
      </c>
    </row>
    <row r="382" spans="2:9" x14ac:dyDescent="0.25">
      <c r="B382" s="1">
        <v>45934</v>
      </c>
      <c r="C382">
        <v>20220012930</v>
      </c>
      <c r="D382" t="s">
        <v>85</v>
      </c>
      <c r="E382" t="s">
        <v>81</v>
      </c>
      <c r="F382" t="s">
        <v>77</v>
      </c>
      <c r="G382" t="s">
        <v>64</v>
      </c>
      <c r="H382" s="2">
        <v>1000000</v>
      </c>
      <c r="I382" t="str">
        <f>VLOOKUP(G382,'rozdělení obchodníků'!B:D,3, )</f>
        <v>Praha</v>
      </c>
    </row>
    <row r="383" spans="2:9" x14ac:dyDescent="0.25">
      <c r="B383" s="1">
        <v>45934</v>
      </c>
      <c r="C383">
        <v>20220012933</v>
      </c>
      <c r="D383" t="s">
        <v>85</v>
      </c>
      <c r="E383" t="s">
        <v>81</v>
      </c>
      <c r="F383" t="s">
        <v>77</v>
      </c>
      <c r="G383" t="s">
        <v>64</v>
      </c>
      <c r="H383" s="2">
        <v>100000</v>
      </c>
      <c r="I383" t="str">
        <f>VLOOKUP(G383,'rozdělení obchodníků'!B:D,3, )</f>
        <v>Praha</v>
      </c>
    </row>
    <row r="384" spans="2:9" x14ac:dyDescent="0.25">
      <c r="B384" s="1">
        <v>45936</v>
      </c>
      <c r="C384">
        <v>20220013020</v>
      </c>
      <c r="D384" t="s">
        <v>85</v>
      </c>
      <c r="E384" t="s">
        <v>82</v>
      </c>
      <c r="F384" t="s">
        <v>77</v>
      </c>
      <c r="G384" t="s">
        <v>64</v>
      </c>
      <c r="H384" s="2">
        <v>100000</v>
      </c>
      <c r="I384" t="str">
        <f>VLOOKUP(G384,'rozdělení obchodníků'!B:D,3, )</f>
        <v>Praha</v>
      </c>
    </row>
    <row r="385" spans="2:9" x14ac:dyDescent="0.25">
      <c r="B385" s="1">
        <v>45936</v>
      </c>
      <c r="C385">
        <v>20220013023</v>
      </c>
      <c r="D385" t="s">
        <v>85</v>
      </c>
      <c r="E385" t="s">
        <v>81</v>
      </c>
      <c r="F385" t="s">
        <v>77</v>
      </c>
      <c r="G385" t="s">
        <v>64</v>
      </c>
      <c r="H385" s="2">
        <v>1000000</v>
      </c>
      <c r="I385" t="str">
        <f>VLOOKUP(G385,'rozdělení obchodníků'!B:D,3, )</f>
        <v>Praha</v>
      </c>
    </row>
    <row r="386" spans="2:9" x14ac:dyDescent="0.25">
      <c r="B386" s="1">
        <v>45936</v>
      </c>
      <c r="C386">
        <v>20220013026</v>
      </c>
      <c r="D386" t="s">
        <v>85</v>
      </c>
      <c r="E386" t="s">
        <v>81</v>
      </c>
      <c r="F386" t="s">
        <v>77</v>
      </c>
      <c r="G386" t="s">
        <v>64</v>
      </c>
      <c r="H386" s="2">
        <v>750000</v>
      </c>
      <c r="I386" t="str">
        <f>VLOOKUP(G386,'rozdělení obchodníků'!B:D,3, )</f>
        <v>Praha</v>
      </c>
    </row>
    <row r="387" spans="2:9" x14ac:dyDescent="0.25">
      <c r="B387" s="1">
        <v>45936</v>
      </c>
      <c r="C387">
        <v>20220013029</v>
      </c>
      <c r="D387" t="s">
        <v>85</v>
      </c>
      <c r="E387" t="s">
        <v>82</v>
      </c>
      <c r="F387" t="s">
        <v>77</v>
      </c>
      <c r="G387" t="s">
        <v>64</v>
      </c>
      <c r="H387" s="2">
        <v>100000</v>
      </c>
      <c r="I387" t="str">
        <f>VLOOKUP(G387,'rozdělení obchodníků'!B:D,3, )</f>
        <v>Praha</v>
      </c>
    </row>
    <row r="388" spans="2:9" x14ac:dyDescent="0.25">
      <c r="B388" s="1">
        <v>45937</v>
      </c>
      <c r="C388">
        <v>20220013113</v>
      </c>
      <c r="D388" t="s">
        <v>85</v>
      </c>
      <c r="E388" t="s">
        <v>80</v>
      </c>
      <c r="F388" t="s">
        <v>77</v>
      </c>
      <c r="G388" t="s">
        <v>64</v>
      </c>
      <c r="H388" s="2">
        <v>100000</v>
      </c>
      <c r="I388" t="str">
        <f>VLOOKUP(G388,'rozdělení obchodníků'!B:D,3, )</f>
        <v>Praha</v>
      </c>
    </row>
    <row r="389" spans="2:9" x14ac:dyDescent="0.25">
      <c r="B389" s="1">
        <v>45937</v>
      </c>
      <c r="C389">
        <v>20220013116</v>
      </c>
      <c r="D389" t="s">
        <v>85</v>
      </c>
      <c r="E389" t="s">
        <v>80</v>
      </c>
      <c r="F389" t="s">
        <v>77</v>
      </c>
      <c r="G389" t="s">
        <v>64</v>
      </c>
      <c r="H389" s="2">
        <v>100000</v>
      </c>
      <c r="I389" t="str">
        <f>VLOOKUP(G389,'rozdělení obchodníků'!B:D,3, )</f>
        <v>Praha</v>
      </c>
    </row>
    <row r="390" spans="2:9" x14ac:dyDescent="0.25">
      <c r="B390" s="1">
        <v>45937</v>
      </c>
      <c r="C390">
        <v>20220013119</v>
      </c>
      <c r="D390" t="s">
        <v>85</v>
      </c>
      <c r="E390" t="s">
        <v>82</v>
      </c>
      <c r="F390" t="s">
        <v>77</v>
      </c>
      <c r="G390" t="s">
        <v>64</v>
      </c>
      <c r="H390" s="2">
        <v>750000</v>
      </c>
      <c r="I390" t="str">
        <f>VLOOKUP(G390,'rozdělení obchodníků'!B:D,3, )</f>
        <v>Praha</v>
      </c>
    </row>
    <row r="391" spans="2:9" x14ac:dyDescent="0.25">
      <c r="B391" s="1">
        <v>45938</v>
      </c>
      <c r="C391">
        <v>20220013245</v>
      </c>
      <c r="D391" t="s">
        <v>85</v>
      </c>
      <c r="E391" t="s">
        <v>81</v>
      </c>
      <c r="F391" t="s">
        <v>77</v>
      </c>
      <c r="G391" t="s">
        <v>64</v>
      </c>
      <c r="H391" s="2">
        <v>1000000</v>
      </c>
      <c r="I391" t="str">
        <f>VLOOKUP(G391,'rozdělení obchodníků'!B:D,3, )</f>
        <v>Praha</v>
      </c>
    </row>
    <row r="392" spans="2:9" x14ac:dyDescent="0.25">
      <c r="B392" s="1">
        <v>45938</v>
      </c>
      <c r="C392">
        <v>20220013272</v>
      </c>
      <c r="D392" t="s">
        <v>85</v>
      </c>
      <c r="E392" t="s">
        <v>81</v>
      </c>
      <c r="F392" t="s">
        <v>77</v>
      </c>
      <c r="G392" t="s">
        <v>64</v>
      </c>
      <c r="H392" s="2">
        <v>100000</v>
      </c>
      <c r="I392" t="str">
        <f>VLOOKUP(G392,'rozdělení obchodníků'!B:D,3, )</f>
        <v>Praha</v>
      </c>
    </row>
    <row r="393" spans="2:9" x14ac:dyDescent="0.25">
      <c r="B393" s="1">
        <v>45938</v>
      </c>
      <c r="C393">
        <v>20220013302</v>
      </c>
      <c r="D393" t="s">
        <v>85</v>
      </c>
      <c r="E393" t="s">
        <v>80</v>
      </c>
      <c r="F393" t="s">
        <v>77</v>
      </c>
      <c r="G393" t="s">
        <v>64</v>
      </c>
      <c r="H393" s="2">
        <v>100000</v>
      </c>
      <c r="I393" t="str">
        <f>VLOOKUP(G393,'rozdělení obchodníků'!B:D,3, )</f>
        <v>Praha</v>
      </c>
    </row>
    <row r="394" spans="2:9" x14ac:dyDescent="0.25">
      <c r="B394" s="1">
        <v>45938</v>
      </c>
      <c r="C394">
        <v>20220013305</v>
      </c>
      <c r="D394" t="s">
        <v>85</v>
      </c>
      <c r="E394" t="s">
        <v>80</v>
      </c>
      <c r="F394" t="s">
        <v>77</v>
      </c>
      <c r="G394" t="s">
        <v>64</v>
      </c>
      <c r="H394" s="2">
        <v>750000</v>
      </c>
      <c r="I394" t="str">
        <f>VLOOKUP(G394,'rozdělení obchodníků'!B:D,3, )</f>
        <v>Praha</v>
      </c>
    </row>
    <row r="395" spans="2:9" x14ac:dyDescent="0.25">
      <c r="B395" s="1">
        <v>45938</v>
      </c>
      <c r="C395">
        <v>20220013308</v>
      </c>
      <c r="D395" t="s">
        <v>85</v>
      </c>
      <c r="E395" t="s">
        <v>80</v>
      </c>
      <c r="F395" t="s">
        <v>77</v>
      </c>
      <c r="G395" t="s">
        <v>64</v>
      </c>
      <c r="H395" s="2">
        <v>100000</v>
      </c>
      <c r="I395" t="str">
        <f>VLOOKUP(G395,'rozdělení obchodníků'!B:D,3, )</f>
        <v>Praha</v>
      </c>
    </row>
    <row r="396" spans="2:9" x14ac:dyDescent="0.25">
      <c r="B396" s="1">
        <v>45938</v>
      </c>
      <c r="C396">
        <v>20220013311</v>
      </c>
      <c r="D396" t="s">
        <v>85</v>
      </c>
      <c r="E396" t="s">
        <v>80</v>
      </c>
      <c r="F396" t="s">
        <v>77</v>
      </c>
      <c r="G396" t="s">
        <v>64</v>
      </c>
      <c r="H396" s="2">
        <v>750000</v>
      </c>
      <c r="I396" t="str">
        <f>VLOOKUP(G396,'rozdělení obchodníků'!B:D,3, )</f>
        <v>Praha</v>
      </c>
    </row>
    <row r="397" spans="2:9" x14ac:dyDescent="0.25">
      <c r="B397" s="1">
        <v>45938</v>
      </c>
      <c r="C397">
        <v>20220013317</v>
      </c>
      <c r="D397" t="s">
        <v>85</v>
      </c>
      <c r="E397" t="s">
        <v>80</v>
      </c>
      <c r="F397" t="s">
        <v>77</v>
      </c>
      <c r="G397" t="s">
        <v>64</v>
      </c>
      <c r="H397" s="2">
        <v>1000000</v>
      </c>
      <c r="I397" t="str">
        <f>VLOOKUP(G397,'rozdělení obchodníků'!B:D,3, )</f>
        <v>Praha</v>
      </c>
    </row>
    <row r="398" spans="2:9" x14ac:dyDescent="0.25">
      <c r="B398" s="1">
        <v>45938</v>
      </c>
      <c r="C398">
        <v>20220013320</v>
      </c>
      <c r="D398" t="s">
        <v>85</v>
      </c>
      <c r="E398" t="s">
        <v>80</v>
      </c>
      <c r="F398" t="s">
        <v>77</v>
      </c>
      <c r="G398" t="s">
        <v>64</v>
      </c>
      <c r="H398" s="2">
        <v>100000</v>
      </c>
      <c r="I398" t="str">
        <f>VLOOKUP(G398,'rozdělení obchodníků'!B:D,3, )</f>
        <v>Praha</v>
      </c>
    </row>
    <row r="399" spans="2:9" x14ac:dyDescent="0.25">
      <c r="B399" s="1">
        <v>45938</v>
      </c>
      <c r="C399">
        <v>20220013323</v>
      </c>
      <c r="D399" t="s">
        <v>85</v>
      </c>
      <c r="E399" t="s">
        <v>80</v>
      </c>
      <c r="F399" t="s">
        <v>77</v>
      </c>
      <c r="G399" t="s">
        <v>64</v>
      </c>
      <c r="H399" s="2">
        <v>750000</v>
      </c>
      <c r="I399" t="str">
        <f>VLOOKUP(G399,'rozdělení obchodníků'!B:D,3, )</f>
        <v>Praha</v>
      </c>
    </row>
    <row r="400" spans="2:9" x14ac:dyDescent="0.25">
      <c r="B400" s="1">
        <v>45938</v>
      </c>
      <c r="C400">
        <v>20220013326</v>
      </c>
      <c r="D400" t="s">
        <v>85</v>
      </c>
      <c r="E400" t="s">
        <v>80</v>
      </c>
      <c r="F400" t="s">
        <v>77</v>
      </c>
      <c r="G400" t="s">
        <v>64</v>
      </c>
      <c r="H400" s="2">
        <v>750000</v>
      </c>
      <c r="I400" t="str">
        <f>VLOOKUP(G400,'rozdělení obchodníků'!B:D,3, )</f>
        <v>Praha</v>
      </c>
    </row>
    <row r="401" spans="2:9" x14ac:dyDescent="0.25">
      <c r="B401" s="1">
        <v>45938</v>
      </c>
      <c r="C401">
        <v>20220013329</v>
      </c>
      <c r="D401" t="s">
        <v>85</v>
      </c>
      <c r="E401" t="s">
        <v>80</v>
      </c>
      <c r="F401" t="s">
        <v>77</v>
      </c>
      <c r="G401" t="s">
        <v>64</v>
      </c>
      <c r="H401" s="2">
        <v>1000000</v>
      </c>
      <c r="I401" t="str">
        <f>VLOOKUP(G401,'rozdělení obchodníků'!B:D,3, )</f>
        <v>Praha</v>
      </c>
    </row>
    <row r="402" spans="2:9" x14ac:dyDescent="0.25">
      <c r="B402" s="1">
        <v>45938</v>
      </c>
      <c r="C402">
        <v>20220013332</v>
      </c>
      <c r="D402" t="s">
        <v>85</v>
      </c>
      <c r="E402" t="s">
        <v>81</v>
      </c>
      <c r="F402" t="s">
        <v>77</v>
      </c>
      <c r="G402" t="s">
        <v>64</v>
      </c>
      <c r="H402" s="2">
        <v>1000000</v>
      </c>
      <c r="I402" t="str">
        <f>VLOOKUP(G402,'rozdělení obchodníků'!B:D,3, )</f>
        <v>Praha</v>
      </c>
    </row>
    <row r="403" spans="2:9" x14ac:dyDescent="0.25">
      <c r="B403" s="1">
        <v>45938</v>
      </c>
      <c r="C403">
        <v>20220013335</v>
      </c>
      <c r="D403" t="s">
        <v>85</v>
      </c>
      <c r="E403" t="s">
        <v>80</v>
      </c>
      <c r="F403" t="s">
        <v>77</v>
      </c>
      <c r="G403" t="s">
        <v>64</v>
      </c>
      <c r="H403" s="2">
        <v>100000</v>
      </c>
      <c r="I403" t="str">
        <f>VLOOKUP(G403,'rozdělení obchodníků'!B:D,3, )</f>
        <v>Praha</v>
      </c>
    </row>
    <row r="404" spans="2:9" x14ac:dyDescent="0.25">
      <c r="B404" s="1">
        <v>45938</v>
      </c>
      <c r="C404">
        <v>20220013338</v>
      </c>
      <c r="D404" t="s">
        <v>85</v>
      </c>
      <c r="E404" t="s">
        <v>81</v>
      </c>
      <c r="F404" t="s">
        <v>77</v>
      </c>
      <c r="G404" t="s">
        <v>64</v>
      </c>
      <c r="H404" s="2">
        <v>600000</v>
      </c>
      <c r="I404" t="str">
        <f>VLOOKUP(G404,'rozdělení obchodníků'!B:D,3, )</f>
        <v>Praha</v>
      </c>
    </row>
    <row r="405" spans="2:9" x14ac:dyDescent="0.25">
      <c r="B405" s="1">
        <v>45939</v>
      </c>
      <c r="C405">
        <v>20220013365</v>
      </c>
      <c r="D405" t="s">
        <v>85</v>
      </c>
      <c r="E405" t="s">
        <v>81</v>
      </c>
      <c r="F405" t="s">
        <v>77</v>
      </c>
      <c r="G405" t="s">
        <v>64</v>
      </c>
      <c r="H405" s="2">
        <v>750000</v>
      </c>
      <c r="I405" t="str">
        <f>VLOOKUP(G405,'rozdělení obchodníků'!B:D,3, )</f>
        <v>Praha</v>
      </c>
    </row>
    <row r="406" spans="2:9" x14ac:dyDescent="0.25">
      <c r="B406" s="1">
        <v>45940</v>
      </c>
      <c r="C406">
        <v>20220013395</v>
      </c>
      <c r="D406" t="s">
        <v>85</v>
      </c>
      <c r="E406" t="s">
        <v>81</v>
      </c>
      <c r="F406" t="s">
        <v>77</v>
      </c>
      <c r="G406" t="s">
        <v>64</v>
      </c>
      <c r="H406" s="2">
        <v>1000000</v>
      </c>
      <c r="I406" t="str">
        <f>VLOOKUP(G406,'rozdělení obchodníků'!B:D,3, )</f>
        <v>Praha</v>
      </c>
    </row>
    <row r="407" spans="2:9" x14ac:dyDescent="0.25">
      <c r="B407" s="1">
        <v>45940</v>
      </c>
      <c r="C407">
        <v>20220013398</v>
      </c>
      <c r="D407" t="s">
        <v>85</v>
      </c>
      <c r="E407" t="s">
        <v>81</v>
      </c>
      <c r="F407" t="s">
        <v>77</v>
      </c>
      <c r="G407" t="s">
        <v>64</v>
      </c>
      <c r="H407" s="2">
        <v>750000</v>
      </c>
      <c r="I407" t="str">
        <f>VLOOKUP(G407,'rozdělení obchodníků'!B:D,3, )</f>
        <v>Praha</v>
      </c>
    </row>
    <row r="408" spans="2:9" x14ac:dyDescent="0.25">
      <c r="B408" s="1">
        <v>45944</v>
      </c>
      <c r="C408">
        <v>20220013518</v>
      </c>
      <c r="D408" t="s">
        <v>85</v>
      </c>
      <c r="E408" t="s">
        <v>81</v>
      </c>
      <c r="F408" t="s">
        <v>77</v>
      </c>
      <c r="G408" t="s">
        <v>64</v>
      </c>
      <c r="H408" s="2">
        <v>2000000</v>
      </c>
      <c r="I408" t="str">
        <f>VLOOKUP(G408,'rozdělení obchodníků'!B:D,3, )</f>
        <v>Praha</v>
      </c>
    </row>
    <row r="409" spans="2:9" x14ac:dyDescent="0.25">
      <c r="B409" s="1">
        <v>45946</v>
      </c>
      <c r="C409">
        <v>20220013533</v>
      </c>
      <c r="D409" t="s">
        <v>85</v>
      </c>
      <c r="E409" t="s">
        <v>80</v>
      </c>
      <c r="F409" t="s">
        <v>77</v>
      </c>
      <c r="G409" t="s">
        <v>64</v>
      </c>
      <c r="H409" s="2">
        <v>1500000</v>
      </c>
      <c r="I409" t="str">
        <f>VLOOKUP(G409,'rozdělení obchodníků'!B:D,3, )</f>
        <v>Praha</v>
      </c>
    </row>
    <row r="410" spans="2:9" x14ac:dyDescent="0.25">
      <c r="B410" s="1">
        <v>45951</v>
      </c>
      <c r="C410">
        <v>20220013722</v>
      </c>
      <c r="D410" t="s">
        <v>85</v>
      </c>
      <c r="E410" t="s">
        <v>80</v>
      </c>
      <c r="F410" t="s">
        <v>77</v>
      </c>
      <c r="G410" t="s">
        <v>64</v>
      </c>
      <c r="H410" s="2">
        <v>2000000</v>
      </c>
      <c r="I410" t="str">
        <f>VLOOKUP(G410,'rozdělení obchodníků'!B:D,3, )</f>
        <v>Praha</v>
      </c>
    </row>
    <row r="411" spans="2:9" x14ac:dyDescent="0.25">
      <c r="B411" s="1">
        <v>45944</v>
      </c>
      <c r="C411">
        <v>20220013518</v>
      </c>
      <c r="D411" t="s">
        <v>85</v>
      </c>
      <c r="E411" t="s">
        <v>81</v>
      </c>
      <c r="F411" t="s">
        <v>77</v>
      </c>
      <c r="G411" t="s">
        <v>64</v>
      </c>
      <c r="H411" s="2">
        <v>2000000</v>
      </c>
      <c r="I411" t="str">
        <f>VLOOKUP(G411,'rozdělení obchodníků'!B:D,3, )</f>
        <v>Praha</v>
      </c>
    </row>
    <row r="412" spans="2:9" x14ac:dyDescent="0.25">
      <c r="B412" s="1">
        <v>45956</v>
      </c>
      <c r="C412">
        <v>20220013878</v>
      </c>
      <c r="D412" t="s">
        <v>85</v>
      </c>
      <c r="E412" t="s">
        <v>80</v>
      </c>
      <c r="F412" t="s">
        <v>77</v>
      </c>
      <c r="G412" t="s">
        <v>64</v>
      </c>
      <c r="H412" s="2">
        <v>2000000</v>
      </c>
      <c r="I412" t="str">
        <f>VLOOKUP(G412,'rozdělení obchodníků'!B:D,3, )</f>
        <v>Praha</v>
      </c>
    </row>
    <row r="413" spans="2:9" x14ac:dyDescent="0.25">
      <c r="B413" s="1">
        <v>45960</v>
      </c>
      <c r="C413">
        <v>20220014034</v>
      </c>
      <c r="D413" t="s">
        <v>85</v>
      </c>
      <c r="E413" t="s">
        <v>80</v>
      </c>
      <c r="F413" t="s">
        <v>77</v>
      </c>
      <c r="G413" t="s">
        <v>64</v>
      </c>
      <c r="H413" s="2">
        <v>300000</v>
      </c>
      <c r="I413" t="str">
        <f>VLOOKUP(G413,'rozdělení obchodníků'!B:D,3, )</f>
        <v>Praha</v>
      </c>
    </row>
    <row r="414" spans="2:9" x14ac:dyDescent="0.25">
      <c r="B414" s="1">
        <v>45960</v>
      </c>
      <c r="C414">
        <v>20220014037</v>
      </c>
      <c r="D414" t="s">
        <v>85</v>
      </c>
      <c r="E414" t="s">
        <v>80</v>
      </c>
      <c r="F414" t="s">
        <v>77</v>
      </c>
      <c r="G414" t="s">
        <v>64</v>
      </c>
      <c r="H414" s="2">
        <v>300000</v>
      </c>
      <c r="I414" t="str">
        <f>VLOOKUP(G414,'rozdělení obchodníků'!B:D,3, )</f>
        <v>Praha</v>
      </c>
    </row>
    <row r="415" spans="2:9" x14ac:dyDescent="0.25">
      <c r="B415" s="1">
        <v>45933</v>
      </c>
      <c r="C415">
        <v>20220012708</v>
      </c>
      <c r="D415" t="s">
        <v>85</v>
      </c>
      <c r="E415" t="s">
        <v>81</v>
      </c>
      <c r="F415" t="s">
        <v>77</v>
      </c>
      <c r="G415" t="s">
        <v>48</v>
      </c>
      <c r="H415" s="2">
        <v>250000</v>
      </c>
      <c r="I415" t="str">
        <f>VLOOKUP(G415,'rozdělení obchodníků'!B:D,3, )</f>
        <v>Praha</v>
      </c>
    </row>
    <row r="416" spans="2:9" x14ac:dyDescent="0.25">
      <c r="B416" s="1">
        <v>45938</v>
      </c>
      <c r="C416">
        <v>20220013185</v>
      </c>
      <c r="D416" t="s">
        <v>85</v>
      </c>
      <c r="E416" t="s">
        <v>82</v>
      </c>
      <c r="F416" t="s">
        <v>77</v>
      </c>
      <c r="G416" t="s">
        <v>48</v>
      </c>
      <c r="H416" s="2">
        <v>100000</v>
      </c>
      <c r="I416" t="str">
        <f>VLOOKUP(G416,'rozdělení obchodníků'!B:D,3, )</f>
        <v>Praha</v>
      </c>
    </row>
    <row r="417" spans="2:9" x14ac:dyDescent="0.25">
      <c r="B417" s="1">
        <v>45943</v>
      </c>
      <c r="C417">
        <v>20220013458</v>
      </c>
      <c r="D417" t="s">
        <v>85</v>
      </c>
      <c r="E417" t="s">
        <v>80</v>
      </c>
      <c r="F417" t="s">
        <v>77</v>
      </c>
      <c r="G417" t="s">
        <v>48</v>
      </c>
      <c r="H417" s="2">
        <v>750000</v>
      </c>
      <c r="I417" t="str">
        <f>VLOOKUP(G417,'rozdělení obchodníků'!B:D,3, )</f>
        <v>Praha</v>
      </c>
    </row>
    <row r="418" spans="2:9" x14ac:dyDescent="0.25">
      <c r="B418" s="1">
        <v>45949</v>
      </c>
      <c r="C418">
        <v>20220013629</v>
      </c>
      <c r="D418" t="s">
        <v>85</v>
      </c>
      <c r="E418" t="s">
        <v>80</v>
      </c>
      <c r="F418" t="s">
        <v>77</v>
      </c>
      <c r="G418" t="s">
        <v>48</v>
      </c>
      <c r="H418" s="2">
        <v>100000</v>
      </c>
      <c r="I418" t="str">
        <f>VLOOKUP(G418,'rozdělení obchodníků'!B:D,3, )</f>
        <v>Praha</v>
      </c>
    </row>
    <row r="419" spans="2:9" x14ac:dyDescent="0.25">
      <c r="B419" s="1">
        <v>45949</v>
      </c>
      <c r="C419">
        <v>20220013647</v>
      </c>
      <c r="D419" t="s">
        <v>85</v>
      </c>
      <c r="E419" t="s">
        <v>81</v>
      </c>
      <c r="F419" t="s">
        <v>77</v>
      </c>
      <c r="G419" t="s">
        <v>48</v>
      </c>
      <c r="H419" s="2">
        <v>950000</v>
      </c>
      <c r="I419" t="str">
        <f>VLOOKUP(G419,'rozdělení obchodníků'!B:D,3, )</f>
        <v>Praha</v>
      </c>
    </row>
    <row r="420" spans="2:9" x14ac:dyDescent="0.25">
      <c r="B420" s="1">
        <v>45951</v>
      </c>
      <c r="C420">
        <v>20220013743</v>
      </c>
      <c r="D420" t="s">
        <v>85</v>
      </c>
      <c r="E420" t="s">
        <v>81</v>
      </c>
      <c r="F420" t="s">
        <v>77</v>
      </c>
      <c r="G420" t="s">
        <v>48</v>
      </c>
      <c r="H420" s="2">
        <v>250000</v>
      </c>
      <c r="I420" t="str">
        <f>VLOOKUP(G420,'rozdělení obchodníků'!B:D,3, )</f>
        <v>Praha</v>
      </c>
    </row>
    <row r="421" spans="2:9" x14ac:dyDescent="0.25">
      <c r="B421" s="1">
        <v>45952</v>
      </c>
      <c r="C421">
        <v>20220013773</v>
      </c>
      <c r="D421" t="s">
        <v>85</v>
      </c>
      <c r="E421" t="s">
        <v>80</v>
      </c>
      <c r="F421" t="s">
        <v>77</v>
      </c>
      <c r="G421" t="s">
        <v>48</v>
      </c>
      <c r="H421" s="2">
        <v>750000</v>
      </c>
      <c r="I421" t="str">
        <f>VLOOKUP(G421,'rozdělení obchodníků'!B:D,3, )</f>
        <v>Praha</v>
      </c>
    </row>
    <row r="422" spans="2:9" x14ac:dyDescent="0.25">
      <c r="B422" s="1">
        <v>45960</v>
      </c>
      <c r="C422">
        <v>20220014001</v>
      </c>
      <c r="D422" t="s">
        <v>85</v>
      </c>
      <c r="E422" t="s">
        <v>80</v>
      </c>
      <c r="F422" t="s">
        <v>77</v>
      </c>
      <c r="G422" t="s">
        <v>48</v>
      </c>
      <c r="H422" s="2">
        <v>300000</v>
      </c>
      <c r="I422" t="str">
        <f>VLOOKUP(G422,'rozdělení obchodníků'!B:D,3, )</f>
        <v>Praha</v>
      </c>
    </row>
    <row r="423" spans="2:9" x14ac:dyDescent="0.25">
      <c r="B423" s="1">
        <v>45932</v>
      </c>
      <c r="C423">
        <v>20220012585</v>
      </c>
      <c r="D423" t="s">
        <v>85</v>
      </c>
      <c r="E423" t="s">
        <v>81</v>
      </c>
      <c r="F423" t="s">
        <v>77</v>
      </c>
      <c r="G423" t="s">
        <v>17</v>
      </c>
      <c r="H423" s="2">
        <v>750000</v>
      </c>
      <c r="I423" t="str">
        <f>VLOOKUP(G423,'rozdělení obchodníků'!B:D,3, )</f>
        <v>Morava</v>
      </c>
    </row>
    <row r="424" spans="2:9" x14ac:dyDescent="0.25">
      <c r="B424" s="1">
        <v>45932</v>
      </c>
      <c r="C424">
        <v>20220012588</v>
      </c>
      <c r="D424" t="s">
        <v>85</v>
      </c>
      <c r="E424" t="s">
        <v>81</v>
      </c>
      <c r="F424" t="s">
        <v>77</v>
      </c>
      <c r="G424" t="s">
        <v>17</v>
      </c>
      <c r="H424" s="2">
        <v>300000</v>
      </c>
      <c r="I424" t="str">
        <f>VLOOKUP(G424,'rozdělení obchodníků'!B:D,3, )</f>
        <v>Morava</v>
      </c>
    </row>
    <row r="425" spans="2:9" x14ac:dyDescent="0.25">
      <c r="B425" s="1">
        <v>45932</v>
      </c>
      <c r="C425">
        <v>20220012627</v>
      </c>
      <c r="D425" t="s">
        <v>85</v>
      </c>
      <c r="E425" t="s">
        <v>80</v>
      </c>
      <c r="F425" t="s">
        <v>77</v>
      </c>
      <c r="G425" t="s">
        <v>17</v>
      </c>
      <c r="H425" s="2">
        <v>450000</v>
      </c>
      <c r="I425" t="str">
        <f>VLOOKUP(G425,'rozdělení obchodníků'!B:D,3, )</f>
        <v>Morava</v>
      </c>
    </row>
    <row r="426" spans="2:9" x14ac:dyDescent="0.25">
      <c r="B426" s="1">
        <v>45932</v>
      </c>
      <c r="C426">
        <v>20220012630</v>
      </c>
      <c r="D426" t="s">
        <v>85</v>
      </c>
      <c r="E426" t="s">
        <v>80</v>
      </c>
      <c r="F426" t="s">
        <v>77</v>
      </c>
      <c r="G426" t="s">
        <v>17</v>
      </c>
      <c r="H426" s="2">
        <v>450000</v>
      </c>
      <c r="I426" t="str">
        <f>VLOOKUP(G426,'rozdělení obchodníků'!B:D,3, )</f>
        <v>Morava</v>
      </c>
    </row>
    <row r="427" spans="2:9" x14ac:dyDescent="0.25">
      <c r="B427" s="1">
        <v>45932</v>
      </c>
      <c r="C427">
        <v>20220012633</v>
      </c>
      <c r="D427" t="s">
        <v>85</v>
      </c>
      <c r="E427" t="s">
        <v>80</v>
      </c>
      <c r="F427" t="s">
        <v>77</v>
      </c>
      <c r="G427" t="s">
        <v>17</v>
      </c>
      <c r="H427" s="2">
        <v>1450000</v>
      </c>
      <c r="I427" t="str">
        <f>VLOOKUP(G427,'rozdělení obchodníků'!B:D,3, )</f>
        <v>Morava</v>
      </c>
    </row>
    <row r="428" spans="2:9" x14ac:dyDescent="0.25">
      <c r="B428" s="1">
        <v>45932</v>
      </c>
      <c r="C428">
        <v>20220012663</v>
      </c>
      <c r="D428" t="s">
        <v>85</v>
      </c>
      <c r="E428" t="s">
        <v>82</v>
      </c>
      <c r="F428" t="s">
        <v>77</v>
      </c>
      <c r="G428" t="s">
        <v>17</v>
      </c>
      <c r="H428" s="2">
        <v>1000000</v>
      </c>
      <c r="I428" t="str">
        <f>VLOOKUP(G428,'rozdělení obchodníků'!B:D,3, )</f>
        <v>Morava</v>
      </c>
    </row>
    <row r="429" spans="2:9" x14ac:dyDescent="0.25">
      <c r="B429" s="1">
        <v>45932</v>
      </c>
      <c r="C429">
        <v>20220012666</v>
      </c>
      <c r="D429" t="s">
        <v>85</v>
      </c>
      <c r="E429" t="s">
        <v>82</v>
      </c>
      <c r="F429" t="s">
        <v>77</v>
      </c>
      <c r="G429" t="s">
        <v>17</v>
      </c>
      <c r="H429" s="2">
        <v>1000000</v>
      </c>
      <c r="I429" t="str">
        <f>VLOOKUP(G429,'rozdělení obchodníků'!B:D,3, )</f>
        <v>Morava</v>
      </c>
    </row>
    <row r="430" spans="2:9" x14ac:dyDescent="0.25">
      <c r="B430" s="1">
        <v>45932</v>
      </c>
      <c r="C430">
        <v>20220012669</v>
      </c>
      <c r="D430" t="s">
        <v>85</v>
      </c>
      <c r="E430" t="s">
        <v>82</v>
      </c>
      <c r="F430" t="s">
        <v>77</v>
      </c>
      <c r="G430" t="s">
        <v>17</v>
      </c>
      <c r="H430" s="2">
        <v>1000000</v>
      </c>
      <c r="I430" t="str">
        <f>VLOOKUP(G430,'rozdělení obchodníků'!B:D,3, )</f>
        <v>Morava</v>
      </c>
    </row>
    <row r="431" spans="2:9" x14ac:dyDescent="0.25">
      <c r="B431" s="1">
        <v>45944</v>
      </c>
      <c r="C431">
        <v>20220013485</v>
      </c>
      <c r="D431" t="s">
        <v>85</v>
      </c>
      <c r="E431" t="s">
        <v>80</v>
      </c>
      <c r="F431" t="s">
        <v>77</v>
      </c>
      <c r="G431" t="s">
        <v>17</v>
      </c>
      <c r="H431" s="2">
        <v>100000</v>
      </c>
      <c r="I431" t="str">
        <f>VLOOKUP(G431,'rozdělení obchodníků'!B:D,3, )</f>
        <v>Morava</v>
      </c>
    </row>
    <row r="432" spans="2:9" x14ac:dyDescent="0.25">
      <c r="B432" s="1">
        <v>45944</v>
      </c>
      <c r="C432">
        <v>20220013488</v>
      </c>
      <c r="D432" t="s">
        <v>85</v>
      </c>
      <c r="E432" t="s">
        <v>80</v>
      </c>
      <c r="F432" t="s">
        <v>77</v>
      </c>
      <c r="G432" t="s">
        <v>17</v>
      </c>
      <c r="H432" s="2">
        <v>100000</v>
      </c>
      <c r="I432" t="str">
        <f>VLOOKUP(G432,'rozdělení obchodníků'!B:D,3, )</f>
        <v>Morava</v>
      </c>
    </row>
    <row r="433" spans="2:9" x14ac:dyDescent="0.25">
      <c r="B433" s="1">
        <v>45944</v>
      </c>
      <c r="C433">
        <v>20220013512</v>
      </c>
      <c r="D433" t="s">
        <v>85</v>
      </c>
      <c r="E433" t="s">
        <v>80</v>
      </c>
      <c r="F433" t="s">
        <v>77</v>
      </c>
      <c r="G433" t="s">
        <v>17</v>
      </c>
      <c r="H433" s="2">
        <v>100000</v>
      </c>
      <c r="I433" t="str">
        <f>VLOOKUP(G433,'rozdělení obchodníků'!B:D,3, )</f>
        <v>Morava</v>
      </c>
    </row>
    <row r="434" spans="2:9" x14ac:dyDescent="0.25">
      <c r="B434" s="1">
        <v>45944</v>
      </c>
      <c r="C434">
        <v>20220013515</v>
      </c>
      <c r="D434" t="s">
        <v>85</v>
      </c>
      <c r="E434" t="s">
        <v>80</v>
      </c>
      <c r="F434" t="s">
        <v>77</v>
      </c>
      <c r="G434" t="s">
        <v>17</v>
      </c>
      <c r="H434" s="2">
        <v>100000</v>
      </c>
      <c r="I434" t="str">
        <f>VLOOKUP(G434,'rozdělení obchodníků'!B:D,3, )</f>
        <v>Morava</v>
      </c>
    </row>
    <row r="435" spans="2:9" x14ac:dyDescent="0.25">
      <c r="B435" s="1">
        <v>45957</v>
      </c>
      <c r="C435">
        <v>20220013905</v>
      </c>
      <c r="D435" t="s">
        <v>85</v>
      </c>
      <c r="E435" t="s">
        <v>81</v>
      </c>
      <c r="F435" t="s">
        <v>77</v>
      </c>
      <c r="G435" t="s">
        <v>17</v>
      </c>
      <c r="H435" s="2">
        <v>1000000</v>
      </c>
      <c r="I435" t="str">
        <f>VLOOKUP(G435,'rozdělení obchodníků'!B:D,3, )</f>
        <v>Morava</v>
      </c>
    </row>
    <row r="436" spans="2:9" x14ac:dyDescent="0.25">
      <c r="B436" s="1">
        <v>45957</v>
      </c>
      <c r="C436">
        <v>20220013911</v>
      </c>
      <c r="D436" t="s">
        <v>85</v>
      </c>
      <c r="E436" t="s">
        <v>80</v>
      </c>
      <c r="F436" t="s">
        <v>77</v>
      </c>
      <c r="G436" t="s">
        <v>17</v>
      </c>
      <c r="H436" s="2">
        <v>750000</v>
      </c>
      <c r="I436" t="str">
        <f>VLOOKUP(G436,'rozdělení obchodníků'!B:D,3, )</f>
        <v>Morava</v>
      </c>
    </row>
    <row r="437" spans="2:9" x14ac:dyDescent="0.25">
      <c r="B437" s="1">
        <v>45957</v>
      </c>
      <c r="C437">
        <v>20220013917</v>
      </c>
      <c r="D437" t="s">
        <v>85</v>
      </c>
      <c r="E437" t="s">
        <v>80</v>
      </c>
      <c r="F437" t="s">
        <v>77</v>
      </c>
      <c r="G437" t="s">
        <v>17</v>
      </c>
      <c r="H437" s="2">
        <v>500000</v>
      </c>
      <c r="I437" t="str">
        <f>VLOOKUP(G437,'rozdělení obchodníků'!B:D,3, )</f>
        <v>Morava</v>
      </c>
    </row>
    <row r="438" spans="2:9" x14ac:dyDescent="0.25">
      <c r="B438" s="1">
        <v>45958</v>
      </c>
      <c r="C438">
        <v>20220013947</v>
      </c>
      <c r="D438" t="s">
        <v>85</v>
      </c>
      <c r="E438" t="s">
        <v>80</v>
      </c>
      <c r="F438" t="s">
        <v>77</v>
      </c>
      <c r="G438" t="s">
        <v>17</v>
      </c>
      <c r="H438" s="2">
        <v>300000</v>
      </c>
      <c r="I438" t="str">
        <f>VLOOKUP(G438,'rozdělení obchodníků'!B:D,3, )</f>
        <v>Morava</v>
      </c>
    </row>
    <row r="439" spans="2:9" x14ac:dyDescent="0.25">
      <c r="B439" s="1">
        <v>45958</v>
      </c>
      <c r="C439">
        <v>20220013959</v>
      </c>
      <c r="D439" t="s">
        <v>85</v>
      </c>
      <c r="E439" t="s">
        <v>80</v>
      </c>
      <c r="F439" t="s">
        <v>77</v>
      </c>
      <c r="G439" t="s">
        <v>17</v>
      </c>
      <c r="H439" s="2">
        <v>500000</v>
      </c>
      <c r="I439" t="str">
        <f>VLOOKUP(G439,'rozdělení obchodníků'!B:D,3, )</f>
        <v>Morava</v>
      </c>
    </row>
    <row r="440" spans="2:9" x14ac:dyDescent="0.25">
      <c r="B440" s="1">
        <v>45958</v>
      </c>
      <c r="C440">
        <v>20220013965</v>
      </c>
      <c r="D440" t="s">
        <v>85</v>
      </c>
      <c r="E440" t="s">
        <v>81</v>
      </c>
      <c r="F440" t="s">
        <v>77</v>
      </c>
      <c r="G440" t="s">
        <v>17</v>
      </c>
      <c r="H440" s="2">
        <v>100000</v>
      </c>
      <c r="I440" t="str">
        <f>VLOOKUP(G440,'rozdělení obchodníků'!B:D,3, )</f>
        <v>Morava</v>
      </c>
    </row>
    <row r="441" spans="2:9" x14ac:dyDescent="0.25">
      <c r="B441" s="1">
        <v>45958</v>
      </c>
      <c r="C441">
        <v>20220013971</v>
      </c>
      <c r="D441" t="s">
        <v>85</v>
      </c>
      <c r="E441" t="s">
        <v>80</v>
      </c>
      <c r="F441" t="s">
        <v>77</v>
      </c>
      <c r="G441" t="s">
        <v>17</v>
      </c>
      <c r="H441" s="2">
        <v>750000</v>
      </c>
      <c r="I441" t="str">
        <f>VLOOKUP(G441,'rozdělení obchodníků'!B:D,3, )</f>
        <v>Morava</v>
      </c>
    </row>
    <row r="442" spans="2:9" x14ac:dyDescent="0.25">
      <c r="B442" s="1">
        <v>45934</v>
      </c>
      <c r="C442">
        <v>20220012885</v>
      </c>
      <c r="D442" t="s">
        <v>85</v>
      </c>
      <c r="E442" t="s">
        <v>80</v>
      </c>
      <c r="F442" t="s">
        <v>77</v>
      </c>
      <c r="G442" t="s">
        <v>18</v>
      </c>
      <c r="H442" s="2">
        <v>250000</v>
      </c>
      <c r="I442" t="str">
        <f>VLOOKUP(G442,'rozdělení obchodníků'!B:D,3, )</f>
        <v>Morava</v>
      </c>
    </row>
    <row r="443" spans="2:9" x14ac:dyDescent="0.25">
      <c r="B443" s="1">
        <v>45934</v>
      </c>
      <c r="C443">
        <v>20220012888</v>
      </c>
      <c r="D443" t="s">
        <v>85</v>
      </c>
      <c r="E443" t="s">
        <v>80</v>
      </c>
      <c r="F443" t="s">
        <v>77</v>
      </c>
      <c r="G443" t="s">
        <v>18</v>
      </c>
      <c r="H443" s="2">
        <v>250000</v>
      </c>
      <c r="I443" t="str">
        <f>VLOOKUP(G443,'rozdělení obchodníků'!B:D,3, )</f>
        <v>Morava</v>
      </c>
    </row>
    <row r="444" spans="2:9" x14ac:dyDescent="0.25">
      <c r="B444" s="1">
        <v>45948</v>
      </c>
      <c r="C444">
        <v>20220013578</v>
      </c>
      <c r="D444" t="s">
        <v>85</v>
      </c>
      <c r="E444" t="s">
        <v>82</v>
      </c>
      <c r="F444" t="s">
        <v>77</v>
      </c>
      <c r="G444" t="s">
        <v>18</v>
      </c>
      <c r="H444" s="2">
        <v>350000</v>
      </c>
      <c r="I444" t="str">
        <f>VLOOKUP(G444,'rozdělení obchodníků'!B:D,3, )</f>
        <v>Morava</v>
      </c>
    </row>
    <row r="445" spans="2:9" x14ac:dyDescent="0.25">
      <c r="B445" s="1">
        <v>45948</v>
      </c>
      <c r="C445">
        <v>20220013596</v>
      </c>
      <c r="D445" t="s">
        <v>85</v>
      </c>
      <c r="E445" t="s">
        <v>81</v>
      </c>
      <c r="F445" t="s">
        <v>77</v>
      </c>
      <c r="G445" t="s">
        <v>18</v>
      </c>
      <c r="H445" s="2">
        <v>1000000</v>
      </c>
      <c r="I445" t="str">
        <f>VLOOKUP(G445,'rozdělení obchodníků'!B:D,3, )</f>
        <v>Morava</v>
      </c>
    </row>
    <row r="446" spans="2:9" x14ac:dyDescent="0.25">
      <c r="B446" s="1">
        <v>45948</v>
      </c>
      <c r="C446">
        <v>20220013611</v>
      </c>
      <c r="D446" t="s">
        <v>85</v>
      </c>
      <c r="E446" t="s">
        <v>80</v>
      </c>
      <c r="F446" t="s">
        <v>77</v>
      </c>
      <c r="G446" t="s">
        <v>18</v>
      </c>
      <c r="H446" s="2">
        <v>1250000</v>
      </c>
      <c r="I446" t="str">
        <f>VLOOKUP(G446,'rozdělení obchodníků'!B:D,3, )</f>
        <v>Morava</v>
      </c>
    </row>
    <row r="447" spans="2:9" x14ac:dyDescent="0.25">
      <c r="B447" s="1">
        <v>45948</v>
      </c>
      <c r="C447">
        <v>20220013614</v>
      </c>
      <c r="D447" t="s">
        <v>85</v>
      </c>
      <c r="E447" t="s">
        <v>80</v>
      </c>
      <c r="F447" t="s">
        <v>77</v>
      </c>
      <c r="G447" t="s">
        <v>18</v>
      </c>
      <c r="H447" s="2">
        <v>100000</v>
      </c>
      <c r="I447" t="str">
        <f>VLOOKUP(G447,'rozdělení obchodníků'!B:D,3, )</f>
        <v>Morava</v>
      </c>
    </row>
    <row r="448" spans="2:9" x14ac:dyDescent="0.25">
      <c r="B448" s="1">
        <v>45949</v>
      </c>
      <c r="C448">
        <v>20220013635</v>
      </c>
      <c r="D448" t="s">
        <v>85</v>
      </c>
      <c r="E448" t="s">
        <v>81</v>
      </c>
      <c r="F448" t="s">
        <v>77</v>
      </c>
      <c r="G448" t="s">
        <v>18</v>
      </c>
      <c r="H448" s="2">
        <v>1000000</v>
      </c>
      <c r="I448" t="str">
        <f>VLOOKUP(G448,'rozdělení obchodníků'!B:D,3, )</f>
        <v>Morava</v>
      </c>
    </row>
    <row r="449" spans="2:9" x14ac:dyDescent="0.25">
      <c r="B449" s="1">
        <v>45949</v>
      </c>
      <c r="C449">
        <v>20220013644</v>
      </c>
      <c r="D449" t="s">
        <v>85</v>
      </c>
      <c r="E449" t="s">
        <v>80</v>
      </c>
      <c r="F449" t="s">
        <v>77</v>
      </c>
      <c r="G449" t="s">
        <v>18</v>
      </c>
      <c r="H449" s="2">
        <v>750000</v>
      </c>
      <c r="I449" t="str">
        <f>VLOOKUP(G449,'rozdělení obchodníků'!B:D,3, )</f>
        <v>Morava</v>
      </c>
    </row>
    <row r="450" spans="2:9" x14ac:dyDescent="0.25">
      <c r="B450" s="1">
        <v>45949</v>
      </c>
      <c r="C450">
        <v>20220013653</v>
      </c>
      <c r="D450" t="s">
        <v>85</v>
      </c>
      <c r="E450" t="s">
        <v>80</v>
      </c>
      <c r="F450" t="s">
        <v>77</v>
      </c>
      <c r="G450" t="s">
        <v>18</v>
      </c>
      <c r="H450" s="2">
        <v>750000</v>
      </c>
      <c r="I450" t="str">
        <f>VLOOKUP(G450,'rozdělení obchodníků'!B:D,3, )</f>
        <v>Morava</v>
      </c>
    </row>
    <row r="451" spans="2:9" x14ac:dyDescent="0.25">
      <c r="B451" s="1">
        <v>45949</v>
      </c>
      <c r="C451">
        <v>20220013656</v>
      </c>
      <c r="D451" t="s">
        <v>85</v>
      </c>
      <c r="E451" t="s">
        <v>80</v>
      </c>
      <c r="F451" t="s">
        <v>77</v>
      </c>
      <c r="G451" t="s">
        <v>18</v>
      </c>
      <c r="H451" s="2">
        <v>750000</v>
      </c>
      <c r="I451" t="str">
        <f>VLOOKUP(G451,'rozdělení obchodníků'!B:D,3, )</f>
        <v>Morava</v>
      </c>
    </row>
    <row r="452" spans="2:9" x14ac:dyDescent="0.25">
      <c r="B452" s="1">
        <v>45957</v>
      </c>
      <c r="C452">
        <v>20220013893</v>
      </c>
      <c r="D452" t="s">
        <v>85</v>
      </c>
      <c r="E452" t="s">
        <v>81</v>
      </c>
      <c r="F452" t="s">
        <v>77</v>
      </c>
      <c r="G452" t="s">
        <v>18</v>
      </c>
      <c r="H452" s="2">
        <v>350000</v>
      </c>
      <c r="I452" t="str">
        <f>VLOOKUP(G452,'rozdělení obchodníků'!B:D,3, )</f>
        <v>Morava</v>
      </c>
    </row>
    <row r="453" spans="2:9" x14ac:dyDescent="0.25">
      <c r="B453" s="1">
        <v>45957</v>
      </c>
      <c r="C453">
        <v>20220013896</v>
      </c>
      <c r="D453" t="s">
        <v>85</v>
      </c>
      <c r="E453" t="s">
        <v>80</v>
      </c>
      <c r="F453" t="s">
        <v>77</v>
      </c>
      <c r="G453" t="s">
        <v>18</v>
      </c>
      <c r="H453" s="2">
        <v>100000</v>
      </c>
      <c r="I453" t="str">
        <f>VLOOKUP(G453,'rozdělení obchodníků'!B:D,3, )</f>
        <v>Morava</v>
      </c>
    </row>
    <row r="454" spans="2:9" x14ac:dyDescent="0.25">
      <c r="B454" s="1">
        <v>45957</v>
      </c>
      <c r="C454">
        <v>20220013899</v>
      </c>
      <c r="D454" t="s">
        <v>85</v>
      </c>
      <c r="E454" t="s">
        <v>80</v>
      </c>
      <c r="F454" t="s">
        <v>77</v>
      </c>
      <c r="G454" t="s">
        <v>18</v>
      </c>
      <c r="H454" s="2">
        <v>100000</v>
      </c>
      <c r="I454" t="str">
        <f>VLOOKUP(G454,'rozdělení obchodníků'!B:D,3, )</f>
        <v>Morava</v>
      </c>
    </row>
    <row r="455" spans="2:9" x14ac:dyDescent="0.25">
      <c r="B455" s="1">
        <v>45957</v>
      </c>
      <c r="C455">
        <v>20220013902</v>
      </c>
      <c r="D455" t="s">
        <v>85</v>
      </c>
      <c r="E455" t="s">
        <v>80</v>
      </c>
      <c r="F455" t="s">
        <v>77</v>
      </c>
      <c r="G455" t="s">
        <v>18</v>
      </c>
      <c r="H455" s="2">
        <v>100000</v>
      </c>
      <c r="I455" t="str">
        <f>VLOOKUP(G455,'rozdělení obchodníků'!B:D,3, )</f>
        <v>Morava</v>
      </c>
    </row>
    <row r="456" spans="2:9" x14ac:dyDescent="0.25">
      <c r="B456" s="1">
        <v>45957</v>
      </c>
      <c r="C456">
        <v>20220013908</v>
      </c>
      <c r="D456" t="s">
        <v>85</v>
      </c>
      <c r="E456" t="s">
        <v>80</v>
      </c>
      <c r="F456" t="s">
        <v>77</v>
      </c>
      <c r="G456" t="s">
        <v>18</v>
      </c>
      <c r="H456" s="2">
        <v>100000</v>
      </c>
      <c r="I456" t="str">
        <f>VLOOKUP(G456,'rozdělení obchodníků'!B:D,3, )</f>
        <v>Morava</v>
      </c>
    </row>
    <row r="457" spans="2:9" x14ac:dyDescent="0.25">
      <c r="B457" s="1">
        <v>45932</v>
      </c>
      <c r="C457">
        <v>20220012576</v>
      </c>
      <c r="D457" t="s">
        <v>85</v>
      </c>
      <c r="E457" t="s">
        <v>81</v>
      </c>
      <c r="F457" t="s">
        <v>77</v>
      </c>
      <c r="G457" t="s">
        <v>56</v>
      </c>
      <c r="H457" s="2">
        <v>1200000</v>
      </c>
      <c r="I457" t="str">
        <f>VLOOKUP(G457,'rozdělení obchodníků'!B:D,3, )</f>
        <v>Morava</v>
      </c>
    </row>
    <row r="458" spans="2:9" x14ac:dyDescent="0.25">
      <c r="B458" s="1">
        <v>45932</v>
      </c>
      <c r="C458">
        <v>20220012672</v>
      </c>
      <c r="D458" t="s">
        <v>85</v>
      </c>
      <c r="E458" t="s">
        <v>82</v>
      </c>
      <c r="F458" t="s">
        <v>77</v>
      </c>
      <c r="G458" t="s">
        <v>56</v>
      </c>
      <c r="H458" s="2">
        <v>250000</v>
      </c>
      <c r="I458" t="str">
        <f>VLOOKUP(G458,'rozdělení obchodníků'!B:D,3, )</f>
        <v>Morava</v>
      </c>
    </row>
    <row r="459" spans="2:9" x14ac:dyDescent="0.25">
      <c r="B459" s="1">
        <v>45934</v>
      </c>
      <c r="C459">
        <v>20220012741</v>
      </c>
      <c r="D459" t="s">
        <v>85</v>
      </c>
      <c r="E459" t="s">
        <v>81</v>
      </c>
      <c r="F459" t="s">
        <v>77</v>
      </c>
      <c r="G459" t="s">
        <v>56</v>
      </c>
      <c r="H459" s="2">
        <v>1000000</v>
      </c>
      <c r="I459" t="str">
        <f>VLOOKUP(G459,'rozdělení obchodníků'!B:D,3, )</f>
        <v>Morava</v>
      </c>
    </row>
    <row r="460" spans="2:9" x14ac:dyDescent="0.25">
      <c r="B460" s="1">
        <v>45935</v>
      </c>
      <c r="C460">
        <v>20220012948</v>
      </c>
      <c r="D460" t="s">
        <v>85</v>
      </c>
      <c r="E460" t="s">
        <v>81</v>
      </c>
      <c r="F460" t="s">
        <v>77</v>
      </c>
      <c r="G460" t="s">
        <v>56</v>
      </c>
      <c r="H460" s="2">
        <v>300000</v>
      </c>
      <c r="I460" t="str">
        <f>VLOOKUP(G460,'rozdělení obchodníků'!B:D,3, )</f>
        <v>Morava</v>
      </c>
    </row>
    <row r="461" spans="2:9" x14ac:dyDescent="0.25">
      <c r="B461" s="1">
        <v>45941</v>
      </c>
      <c r="C461">
        <v>20220013407</v>
      </c>
      <c r="D461" t="s">
        <v>85</v>
      </c>
      <c r="E461" t="s">
        <v>80</v>
      </c>
      <c r="F461" t="s">
        <v>77</v>
      </c>
      <c r="G461" t="s">
        <v>56</v>
      </c>
      <c r="H461" s="2">
        <v>100000</v>
      </c>
      <c r="I461" t="str">
        <f>VLOOKUP(G461,'rozdělení obchodníků'!B:D,3, )</f>
        <v>Morava</v>
      </c>
    </row>
    <row r="462" spans="2:9" x14ac:dyDescent="0.25">
      <c r="B462" s="1">
        <v>45950</v>
      </c>
      <c r="C462">
        <v>20220013710</v>
      </c>
      <c r="D462" t="s">
        <v>85</v>
      </c>
      <c r="E462" t="s">
        <v>81</v>
      </c>
      <c r="F462" t="s">
        <v>77</v>
      </c>
      <c r="G462" t="s">
        <v>56</v>
      </c>
      <c r="H462" s="2">
        <v>300000</v>
      </c>
      <c r="I462" t="str">
        <f>VLOOKUP(G462,'rozdělení obchodníků'!B:D,3, )</f>
        <v>Morava</v>
      </c>
    </row>
    <row r="463" spans="2:9" x14ac:dyDescent="0.25">
      <c r="B463" s="1">
        <v>45955</v>
      </c>
      <c r="C463">
        <v>20220013854</v>
      </c>
      <c r="D463" t="s">
        <v>85</v>
      </c>
      <c r="E463" t="s">
        <v>81</v>
      </c>
      <c r="F463" t="s">
        <v>77</v>
      </c>
      <c r="G463" t="s">
        <v>56</v>
      </c>
      <c r="H463" s="2">
        <v>100000</v>
      </c>
      <c r="I463" t="str">
        <f>VLOOKUP(G463,'rozdělení obchodníků'!B:D,3, )</f>
        <v>Morava</v>
      </c>
    </row>
    <row r="464" spans="2:9" x14ac:dyDescent="0.25">
      <c r="B464" s="1">
        <v>45955</v>
      </c>
      <c r="C464">
        <v>20220013863</v>
      </c>
      <c r="D464" t="s">
        <v>85</v>
      </c>
      <c r="E464" t="s">
        <v>81</v>
      </c>
      <c r="F464" t="s">
        <v>77</v>
      </c>
      <c r="G464" t="s">
        <v>56</v>
      </c>
      <c r="H464" s="2">
        <v>100000</v>
      </c>
      <c r="I464" t="str">
        <f>VLOOKUP(G464,'rozdělení obchodníků'!B:D,3, )</f>
        <v>Morava</v>
      </c>
    </row>
    <row r="465" spans="2:9" x14ac:dyDescent="0.25">
      <c r="B465" s="1">
        <v>45955</v>
      </c>
      <c r="C465">
        <v>20220013866</v>
      </c>
      <c r="D465" t="s">
        <v>85</v>
      </c>
      <c r="E465" t="s">
        <v>81</v>
      </c>
      <c r="F465" t="s">
        <v>77</v>
      </c>
      <c r="G465" t="s">
        <v>56</v>
      </c>
      <c r="H465" s="2">
        <v>100000</v>
      </c>
      <c r="I465" t="str">
        <f>VLOOKUP(G465,'rozdělení obchodníků'!B:D,3, )</f>
        <v>Morava</v>
      </c>
    </row>
    <row r="466" spans="2:9" x14ac:dyDescent="0.25">
      <c r="B466" s="1">
        <v>45958</v>
      </c>
      <c r="C466">
        <v>20220013983</v>
      </c>
      <c r="D466" t="s">
        <v>85</v>
      </c>
      <c r="E466" t="s">
        <v>80</v>
      </c>
      <c r="F466" t="s">
        <v>77</v>
      </c>
      <c r="G466" t="s">
        <v>56</v>
      </c>
      <c r="H466" s="2">
        <v>100000</v>
      </c>
      <c r="I466" t="str">
        <f>VLOOKUP(G466,'rozdělení obchodníků'!B:D,3, )</f>
        <v>Morava</v>
      </c>
    </row>
    <row r="467" spans="2:9" x14ac:dyDescent="0.25">
      <c r="B467" s="1">
        <v>45959</v>
      </c>
      <c r="C467">
        <v>20220013986</v>
      </c>
      <c r="D467" t="s">
        <v>85</v>
      </c>
      <c r="E467" t="s">
        <v>81</v>
      </c>
      <c r="F467" t="s">
        <v>77</v>
      </c>
      <c r="G467" t="s">
        <v>56</v>
      </c>
      <c r="H467" s="2">
        <v>1000000</v>
      </c>
      <c r="I467" t="str">
        <f>VLOOKUP(G467,'rozdělení obchodníků'!B:D,3, )</f>
        <v>Morava</v>
      </c>
    </row>
    <row r="468" spans="2:9" x14ac:dyDescent="0.25">
      <c r="B468" s="1">
        <v>45932</v>
      </c>
      <c r="C468">
        <v>20220012594</v>
      </c>
      <c r="D468" t="s">
        <v>85</v>
      </c>
      <c r="E468" t="s">
        <v>81</v>
      </c>
      <c r="F468" t="s">
        <v>77</v>
      </c>
      <c r="G468" t="s">
        <v>16</v>
      </c>
      <c r="H468" s="2">
        <v>600000</v>
      </c>
      <c r="I468" t="str">
        <f>VLOOKUP(G468,'rozdělení obchodníků'!B:D,3, )</f>
        <v>Morava</v>
      </c>
    </row>
    <row r="469" spans="2:9" x14ac:dyDescent="0.25">
      <c r="B469" s="1">
        <v>45932</v>
      </c>
      <c r="C469">
        <v>20220012597</v>
      </c>
      <c r="D469" t="s">
        <v>85</v>
      </c>
      <c r="E469" t="s">
        <v>81</v>
      </c>
      <c r="F469" t="s">
        <v>77</v>
      </c>
      <c r="G469" t="s">
        <v>16</v>
      </c>
      <c r="H469" s="2">
        <v>600000</v>
      </c>
      <c r="I469" t="str">
        <f>VLOOKUP(G469,'rozdělení obchodníků'!B:D,3, )</f>
        <v>Morava</v>
      </c>
    </row>
    <row r="470" spans="2:9" x14ac:dyDescent="0.25">
      <c r="B470" s="1">
        <v>45934</v>
      </c>
      <c r="C470">
        <v>20220012771</v>
      </c>
      <c r="D470" t="s">
        <v>85</v>
      </c>
      <c r="E470" t="s">
        <v>81</v>
      </c>
      <c r="F470" t="s">
        <v>77</v>
      </c>
      <c r="G470" t="s">
        <v>16</v>
      </c>
      <c r="H470" s="2">
        <v>350000</v>
      </c>
      <c r="I470" t="str">
        <f>VLOOKUP(G470,'rozdělení obchodníků'!B:D,3, )</f>
        <v>Morava</v>
      </c>
    </row>
    <row r="471" spans="2:9" x14ac:dyDescent="0.25">
      <c r="B471" s="1">
        <v>45934</v>
      </c>
      <c r="C471">
        <v>20220012849</v>
      </c>
      <c r="D471" t="s">
        <v>85</v>
      </c>
      <c r="E471" t="s">
        <v>82</v>
      </c>
      <c r="F471" t="s">
        <v>77</v>
      </c>
      <c r="G471" t="s">
        <v>16</v>
      </c>
      <c r="H471" s="2">
        <v>600000</v>
      </c>
      <c r="I471" t="str">
        <f>VLOOKUP(G471,'rozdělení obchodníků'!B:D,3, )</f>
        <v>Morava</v>
      </c>
    </row>
    <row r="472" spans="2:9" x14ac:dyDescent="0.25">
      <c r="B472" s="1">
        <v>45944</v>
      </c>
      <c r="C472">
        <v>20220013467</v>
      </c>
      <c r="D472" t="s">
        <v>85</v>
      </c>
      <c r="E472" t="s">
        <v>80</v>
      </c>
      <c r="F472" t="s">
        <v>77</v>
      </c>
      <c r="G472" t="s">
        <v>16</v>
      </c>
      <c r="H472" s="2">
        <v>600000</v>
      </c>
      <c r="I472" t="str">
        <f>VLOOKUP(G472,'rozdělení obchodníků'!B:D,3, )</f>
        <v>Morava</v>
      </c>
    </row>
    <row r="473" spans="2:9" x14ac:dyDescent="0.25">
      <c r="B473" s="1">
        <v>45944</v>
      </c>
      <c r="C473">
        <v>20220013491</v>
      </c>
      <c r="D473" t="s">
        <v>85</v>
      </c>
      <c r="E473" t="s">
        <v>80</v>
      </c>
      <c r="F473" t="s">
        <v>77</v>
      </c>
      <c r="G473" t="s">
        <v>16</v>
      </c>
      <c r="H473" s="2">
        <v>1000000</v>
      </c>
      <c r="I473" t="str">
        <f>VLOOKUP(G473,'rozdělení obchodníků'!B:D,3, )</f>
        <v>Morava</v>
      </c>
    </row>
    <row r="474" spans="2:9" x14ac:dyDescent="0.25">
      <c r="B474" s="1">
        <v>45946</v>
      </c>
      <c r="C474">
        <v>20220013536</v>
      </c>
      <c r="D474" t="s">
        <v>85</v>
      </c>
      <c r="E474" t="s">
        <v>81</v>
      </c>
      <c r="F474" t="s">
        <v>77</v>
      </c>
      <c r="G474" t="s">
        <v>12</v>
      </c>
      <c r="H474" s="2">
        <v>100000</v>
      </c>
      <c r="I474" t="str">
        <f>VLOOKUP(G474,'rozdělení obchodníků'!B:D,3, )</f>
        <v>Čechy</v>
      </c>
    </row>
    <row r="475" spans="2:9" x14ac:dyDescent="0.25">
      <c r="B475" s="1">
        <v>45946</v>
      </c>
      <c r="C475">
        <v>20220013539</v>
      </c>
      <c r="D475" t="s">
        <v>85</v>
      </c>
      <c r="E475" t="s">
        <v>81</v>
      </c>
      <c r="F475" t="s">
        <v>77</v>
      </c>
      <c r="G475" t="s">
        <v>12</v>
      </c>
      <c r="H475" s="2">
        <v>100000</v>
      </c>
      <c r="I475" t="str">
        <f>VLOOKUP(G475,'rozdělení obchodníků'!B:D,3, )</f>
        <v>Čechy</v>
      </c>
    </row>
    <row r="476" spans="2:9" x14ac:dyDescent="0.25">
      <c r="B476" s="1">
        <v>45946</v>
      </c>
      <c r="C476">
        <v>20220013548</v>
      </c>
      <c r="D476" t="s">
        <v>85</v>
      </c>
      <c r="E476" t="s">
        <v>81</v>
      </c>
      <c r="F476" t="s">
        <v>77</v>
      </c>
      <c r="G476" t="s">
        <v>12</v>
      </c>
      <c r="H476" s="2">
        <v>1000000</v>
      </c>
      <c r="I476" t="str">
        <f>VLOOKUP(G476,'rozdělení obchodníků'!B:D,3, )</f>
        <v>Čechy</v>
      </c>
    </row>
    <row r="477" spans="2:9" x14ac:dyDescent="0.25">
      <c r="B477" s="1">
        <v>45952</v>
      </c>
      <c r="C477">
        <v>20220013761</v>
      </c>
      <c r="D477" t="s">
        <v>85</v>
      </c>
      <c r="E477" t="s">
        <v>80</v>
      </c>
      <c r="F477" t="s">
        <v>77</v>
      </c>
      <c r="G477" t="s">
        <v>12</v>
      </c>
      <c r="H477" s="2">
        <v>100000</v>
      </c>
      <c r="I477" t="str">
        <f>VLOOKUP(G477,'rozdělení obchodníků'!B:D,3, )</f>
        <v>Čechy</v>
      </c>
    </row>
    <row r="478" spans="2:9" x14ac:dyDescent="0.25">
      <c r="B478" s="1">
        <v>45952</v>
      </c>
      <c r="C478">
        <v>20220013764</v>
      </c>
      <c r="D478" t="s">
        <v>85</v>
      </c>
      <c r="E478" t="s">
        <v>80</v>
      </c>
      <c r="F478" t="s">
        <v>77</v>
      </c>
      <c r="G478" t="s">
        <v>12</v>
      </c>
      <c r="H478" s="2">
        <v>100000</v>
      </c>
      <c r="I478" t="str">
        <f>VLOOKUP(G478,'rozdělení obchodníků'!B:D,3, )</f>
        <v>Čechy</v>
      </c>
    </row>
    <row r="479" spans="2:9" hidden="1" x14ac:dyDescent="0.25">
      <c r="B479" s="1">
        <v>45958</v>
      </c>
      <c r="C479">
        <v>20220013953</v>
      </c>
      <c r="D479" t="s">
        <v>85</v>
      </c>
      <c r="E479" t="s">
        <v>81</v>
      </c>
      <c r="F479" t="s">
        <v>83</v>
      </c>
      <c r="G479" t="s">
        <v>2</v>
      </c>
      <c r="H479" s="2">
        <v>100000</v>
      </c>
      <c r="I479" t="str">
        <f>VLOOKUP(G479,'rozdělení obchodníků'!B:D,3, )</f>
        <v>Čechy</v>
      </c>
    </row>
    <row r="480" spans="2:9" x14ac:dyDescent="0.25">
      <c r="B480" s="1">
        <v>45952</v>
      </c>
      <c r="C480">
        <v>20220013776</v>
      </c>
      <c r="D480" t="s">
        <v>85</v>
      </c>
      <c r="E480" t="s">
        <v>80</v>
      </c>
      <c r="F480" t="s">
        <v>77</v>
      </c>
      <c r="G480" t="s">
        <v>12</v>
      </c>
      <c r="H480" s="2">
        <v>100000</v>
      </c>
      <c r="I480" t="str">
        <f>VLOOKUP(G480,'rozdělení obchodníků'!B:D,3, )</f>
        <v>Čechy</v>
      </c>
    </row>
    <row r="481" spans="2:9" x14ac:dyDescent="0.25">
      <c r="B481" s="1">
        <v>45952</v>
      </c>
      <c r="C481">
        <v>20220013779</v>
      </c>
      <c r="D481" t="s">
        <v>85</v>
      </c>
      <c r="E481" t="s">
        <v>80</v>
      </c>
      <c r="F481" t="s">
        <v>77</v>
      </c>
      <c r="G481" t="s">
        <v>12</v>
      </c>
      <c r="H481" s="2">
        <v>100000</v>
      </c>
      <c r="I481" t="str">
        <f>VLOOKUP(G481,'rozdělení obchodníků'!B:D,3, )</f>
        <v>Čechy</v>
      </c>
    </row>
    <row r="482" spans="2:9" x14ac:dyDescent="0.25">
      <c r="B482" s="1">
        <v>45952</v>
      </c>
      <c r="C482">
        <v>20220013791</v>
      </c>
      <c r="D482" t="s">
        <v>85</v>
      </c>
      <c r="E482" t="s">
        <v>80</v>
      </c>
      <c r="F482" t="s">
        <v>77</v>
      </c>
      <c r="G482" t="s">
        <v>12</v>
      </c>
      <c r="H482" s="2">
        <v>100000</v>
      </c>
      <c r="I482" t="str">
        <f>VLOOKUP(G482,'rozdělení obchodníků'!B:D,3, )</f>
        <v>Čechy</v>
      </c>
    </row>
    <row r="483" spans="2:9" x14ac:dyDescent="0.25">
      <c r="B483" s="1">
        <v>45952</v>
      </c>
      <c r="C483">
        <v>20220013794</v>
      </c>
      <c r="D483" t="s">
        <v>85</v>
      </c>
      <c r="E483" t="s">
        <v>80</v>
      </c>
      <c r="F483" t="s">
        <v>77</v>
      </c>
      <c r="G483" t="s">
        <v>12</v>
      </c>
      <c r="H483" s="2">
        <v>1250000</v>
      </c>
      <c r="I483" t="str">
        <f>VLOOKUP(G483,'rozdělení obchodníků'!B:D,3, )</f>
        <v>Čechy</v>
      </c>
    </row>
    <row r="484" spans="2:9" x14ac:dyDescent="0.25">
      <c r="B484" s="1">
        <v>45952</v>
      </c>
      <c r="C484">
        <v>20220013812</v>
      </c>
      <c r="D484" t="s">
        <v>85</v>
      </c>
      <c r="E484" t="s">
        <v>81</v>
      </c>
      <c r="F484" t="s">
        <v>77</v>
      </c>
      <c r="G484" t="s">
        <v>12</v>
      </c>
      <c r="H484" s="2">
        <v>2000000</v>
      </c>
      <c r="I484" t="str">
        <f>VLOOKUP(G484,'rozdělení obchodníků'!B:D,3, )</f>
        <v>Čechy</v>
      </c>
    </row>
    <row r="485" spans="2:9" x14ac:dyDescent="0.25">
      <c r="B485" s="1">
        <v>45936</v>
      </c>
      <c r="C485">
        <v>20220012984</v>
      </c>
      <c r="D485" t="s">
        <v>85</v>
      </c>
      <c r="E485" t="s">
        <v>82</v>
      </c>
      <c r="F485" t="s">
        <v>77</v>
      </c>
      <c r="G485" t="s">
        <v>14</v>
      </c>
      <c r="H485" s="2">
        <v>100000</v>
      </c>
      <c r="I485" t="str">
        <f>VLOOKUP(G485,'rozdělení obchodníků'!B:D,3, )</f>
        <v>Morava</v>
      </c>
    </row>
    <row r="486" spans="2:9" x14ac:dyDescent="0.25">
      <c r="B486" s="1">
        <v>45938</v>
      </c>
      <c r="C486">
        <v>20220013152</v>
      </c>
      <c r="D486" t="s">
        <v>85</v>
      </c>
      <c r="E486" t="s">
        <v>81</v>
      </c>
      <c r="F486" t="s">
        <v>77</v>
      </c>
      <c r="G486" t="s">
        <v>14</v>
      </c>
      <c r="H486" s="2">
        <v>3000000</v>
      </c>
      <c r="I486" t="str">
        <f>VLOOKUP(G486,'rozdělení obchodníků'!B:D,3, )</f>
        <v>Morava</v>
      </c>
    </row>
    <row r="487" spans="2:9" x14ac:dyDescent="0.25">
      <c r="B487" s="1">
        <v>45938</v>
      </c>
      <c r="C487">
        <v>20220013167</v>
      </c>
      <c r="D487" t="s">
        <v>85</v>
      </c>
      <c r="E487" t="s">
        <v>82</v>
      </c>
      <c r="F487" t="s">
        <v>77</v>
      </c>
      <c r="G487" t="s">
        <v>14</v>
      </c>
      <c r="H487" s="2">
        <v>1000000</v>
      </c>
      <c r="I487" t="str">
        <f>VLOOKUP(G487,'rozdělení obchodníků'!B:D,3, )</f>
        <v>Morava</v>
      </c>
    </row>
    <row r="488" spans="2:9" x14ac:dyDescent="0.25">
      <c r="B488" s="1">
        <v>45938</v>
      </c>
      <c r="C488">
        <v>20220013182</v>
      </c>
      <c r="D488" t="s">
        <v>85</v>
      </c>
      <c r="E488" t="s">
        <v>82</v>
      </c>
      <c r="F488" t="s">
        <v>77</v>
      </c>
      <c r="G488" t="s">
        <v>14</v>
      </c>
      <c r="H488" s="2">
        <v>750000</v>
      </c>
      <c r="I488" t="str">
        <f>VLOOKUP(G488,'rozdělení obchodníků'!B:D,3, )</f>
        <v>Morava</v>
      </c>
    </row>
    <row r="489" spans="2:9" x14ac:dyDescent="0.25">
      <c r="B489" s="1">
        <v>45938</v>
      </c>
      <c r="C489">
        <v>20220013197</v>
      </c>
      <c r="D489" t="s">
        <v>85</v>
      </c>
      <c r="E489" t="s">
        <v>82</v>
      </c>
      <c r="F489" t="s">
        <v>77</v>
      </c>
      <c r="G489" t="s">
        <v>14</v>
      </c>
      <c r="H489" s="2">
        <v>600000</v>
      </c>
      <c r="I489" t="str">
        <f>VLOOKUP(G489,'rozdělení obchodníků'!B:D,3, )</f>
        <v>Morava</v>
      </c>
    </row>
    <row r="490" spans="2:9" x14ac:dyDescent="0.25">
      <c r="B490" s="1">
        <v>45938</v>
      </c>
      <c r="C490">
        <v>20220013212</v>
      </c>
      <c r="D490" t="s">
        <v>85</v>
      </c>
      <c r="E490" t="s">
        <v>81</v>
      </c>
      <c r="F490" t="s">
        <v>77</v>
      </c>
      <c r="G490" t="s">
        <v>14</v>
      </c>
      <c r="H490" s="2">
        <v>100000</v>
      </c>
      <c r="I490" t="str">
        <f>VLOOKUP(G490,'rozdělení obchodníků'!B:D,3, )</f>
        <v>Morava</v>
      </c>
    </row>
    <row r="491" spans="2:9" x14ac:dyDescent="0.25">
      <c r="B491" s="1">
        <v>45938</v>
      </c>
      <c r="C491">
        <v>20220013233</v>
      </c>
      <c r="D491" t="s">
        <v>85</v>
      </c>
      <c r="E491" t="s">
        <v>80</v>
      </c>
      <c r="F491" t="s">
        <v>77</v>
      </c>
      <c r="G491" t="s">
        <v>14</v>
      </c>
      <c r="H491" s="2">
        <v>100000</v>
      </c>
      <c r="I491" t="str">
        <f>VLOOKUP(G491,'rozdělení obchodníků'!B:D,3, )</f>
        <v>Morava</v>
      </c>
    </row>
    <row r="492" spans="2:9" x14ac:dyDescent="0.25">
      <c r="B492" s="1">
        <v>45938</v>
      </c>
      <c r="C492">
        <v>20220013257</v>
      </c>
      <c r="D492" t="s">
        <v>85</v>
      </c>
      <c r="E492" t="s">
        <v>81</v>
      </c>
      <c r="F492" t="s">
        <v>77</v>
      </c>
      <c r="G492" t="s">
        <v>14</v>
      </c>
      <c r="H492" s="2">
        <v>1000000</v>
      </c>
      <c r="I492" t="str">
        <f>VLOOKUP(G492,'rozdělení obchodníků'!B:D,3, )</f>
        <v>Morava</v>
      </c>
    </row>
    <row r="493" spans="2:9" x14ac:dyDescent="0.25">
      <c r="B493" s="1">
        <v>45938</v>
      </c>
      <c r="C493">
        <v>20220013260</v>
      </c>
      <c r="D493" t="s">
        <v>85</v>
      </c>
      <c r="E493" t="s">
        <v>80</v>
      </c>
      <c r="F493" t="s">
        <v>77</v>
      </c>
      <c r="G493" t="s">
        <v>14</v>
      </c>
      <c r="H493" s="2">
        <v>100000</v>
      </c>
      <c r="I493" t="str">
        <f>VLOOKUP(G493,'rozdělení obchodníků'!B:D,3, )</f>
        <v>Morava</v>
      </c>
    </row>
    <row r="494" spans="2:9" x14ac:dyDescent="0.25">
      <c r="B494" s="1">
        <v>45938</v>
      </c>
      <c r="C494">
        <v>20220013284</v>
      </c>
      <c r="D494" t="s">
        <v>85</v>
      </c>
      <c r="E494" t="s">
        <v>80</v>
      </c>
      <c r="F494" t="s">
        <v>77</v>
      </c>
      <c r="G494" t="s">
        <v>14</v>
      </c>
      <c r="H494" s="2">
        <v>750000</v>
      </c>
      <c r="I494" t="str">
        <f>VLOOKUP(G494,'rozdělení obchodníků'!B:D,3, )</f>
        <v>Morava</v>
      </c>
    </row>
    <row r="495" spans="2:9" x14ac:dyDescent="0.25">
      <c r="B495" s="1">
        <v>45938</v>
      </c>
      <c r="C495">
        <v>20220013296</v>
      </c>
      <c r="D495" t="s">
        <v>85</v>
      </c>
      <c r="E495" t="s">
        <v>81</v>
      </c>
      <c r="F495" t="s">
        <v>77</v>
      </c>
      <c r="G495" t="s">
        <v>14</v>
      </c>
      <c r="H495" s="2">
        <v>100000</v>
      </c>
      <c r="I495" t="str">
        <f>VLOOKUP(G495,'rozdělení obchodníků'!B:D,3, )</f>
        <v>Morava</v>
      </c>
    </row>
    <row r="496" spans="2:9" x14ac:dyDescent="0.25">
      <c r="B496" s="1">
        <v>45942</v>
      </c>
      <c r="C496">
        <v>20220013422</v>
      </c>
      <c r="D496" t="s">
        <v>85</v>
      </c>
      <c r="E496" t="s">
        <v>81</v>
      </c>
      <c r="F496" t="s">
        <v>77</v>
      </c>
      <c r="G496" t="s">
        <v>14</v>
      </c>
      <c r="H496" s="2">
        <v>100000</v>
      </c>
      <c r="I496" t="str">
        <f>VLOOKUP(G496,'rozdělení obchodníků'!B:D,3, )</f>
        <v>Morava</v>
      </c>
    </row>
    <row r="497" spans="2:9" x14ac:dyDescent="0.25">
      <c r="B497" s="1">
        <v>45942</v>
      </c>
      <c r="C497">
        <v>20220013440</v>
      </c>
      <c r="D497" t="s">
        <v>85</v>
      </c>
      <c r="E497" t="s">
        <v>81</v>
      </c>
      <c r="F497" t="s">
        <v>77</v>
      </c>
      <c r="G497" t="s">
        <v>14</v>
      </c>
      <c r="H497" s="2">
        <v>300000</v>
      </c>
      <c r="I497" t="str">
        <f>VLOOKUP(G497,'rozdělení obchodníků'!B:D,3, )</f>
        <v>Morava</v>
      </c>
    </row>
    <row r="498" spans="2:9" x14ac:dyDescent="0.25">
      <c r="B498" s="1">
        <v>45947</v>
      </c>
      <c r="C498">
        <v>20220013557</v>
      </c>
      <c r="D498" t="s">
        <v>85</v>
      </c>
      <c r="E498" t="s">
        <v>81</v>
      </c>
      <c r="F498" t="s">
        <v>77</v>
      </c>
      <c r="G498" t="s">
        <v>14</v>
      </c>
      <c r="H498" s="2">
        <v>1000000</v>
      </c>
      <c r="I498" t="str">
        <f>VLOOKUP(G498,'rozdělení obchodníků'!B:D,3, )</f>
        <v>Morava</v>
      </c>
    </row>
    <row r="499" spans="2:9" x14ac:dyDescent="0.25">
      <c r="B499" s="1">
        <v>45947</v>
      </c>
      <c r="C499">
        <v>20220013560</v>
      </c>
      <c r="D499" t="s">
        <v>85</v>
      </c>
      <c r="E499" t="s">
        <v>82</v>
      </c>
      <c r="F499" t="s">
        <v>77</v>
      </c>
      <c r="G499" t="s">
        <v>14</v>
      </c>
      <c r="H499" s="2">
        <v>100000</v>
      </c>
      <c r="I499" t="str">
        <f>VLOOKUP(G499,'rozdělení obchodníků'!B:D,3, )</f>
        <v>Morava</v>
      </c>
    </row>
    <row r="500" spans="2:9" x14ac:dyDescent="0.25">
      <c r="B500" s="1">
        <v>45947</v>
      </c>
      <c r="C500">
        <v>20220013563</v>
      </c>
      <c r="D500" t="s">
        <v>85</v>
      </c>
      <c r="E500" t="s">
        <v>82</v>
      </c>
      <c r="F500" t="s">
        <v>77</v>
      </c>
      <c r="G500" t="s">
        <v>14</v>
      </c>
      <c r="H500" s="2">
        <v>100000</v>
      </c>
      <c r="I500" t="str">
        <f>VLOOKUP(G500,'rozdělení obchodníků'!B:D,3, )</f>
        <v>Morava</v>
      </c>
    </row>
    <row r="501" spans="2:9" x14ac:dyDescent="0.25">
      <c r="B501" s="1">
        <v>45952</v>
      </c>
      <c r="C501">
        <v>20220013767</v>
      </c>
      <c r="D501" t="s">
        <v>85</v>
      </c>
      <c r="E501" t="s">
        <v>81</v>
      </c>
      <c r="F501" t="s">
        <v>77</v>
      </c>
      <c r="G501" t="s">
        <v>14</v>
      </c>
      <c r="H501" s="2">
        <v>800000</v>
      </c>
      <c r="I501" t="str">
        <f>VLOOKUP(G501,'rozdělení obchodníků'!B:D,3, )</f>
        <v>Morava</v>
      </c>
    </row>
    <row r="502" spans="2:9" x14ac:dyDescent="0.25">
      <c r="B502" s="1">
        <v>45952</v>
      </c>
      <c r="C502">
        <v>20220013782</v>
      </c>
      <c r="D502" t="s">
        <v>85</v>
      </c>
      <c r="E502" t="s">
        <v>80</v>
      </c>
      <c r="F502" t="s">
        <v>77</v>
      </c>
      <c r="G502" t="s">
        <v>14</v>
      </c>
      <c r="H502" s="2">
        <v>750000</v>
      </c>
      <c r="I502" t="str">
        <f>VLOOKUP(G502,'rozdělení obchodníků'!B:D,3, )</f>
        <v>Morava</v>
      </c>
    </row>
    <row r="503" spans="2:9" x14ac:dyDescent="0.25">
      <c r="B503" s="1">
        <v>45952</v>
      </c>
      <c r="C503">
        <v>20220013785</v>
      </c>
      <c r="D503" t="s">
        <v>85</v>
      </c>
      <c r="E503" t="s">
        <v>80</v>
      </c>
      <c r="F503" t="s">
        <v>77</v>
      </c>
      <c r="G503" t="s">
        <v>14</v>
      </c>
      <c r="H503" s="2">
        <v>750000</v>
      </c>
      <c r="I503" t="str">
        <f>VLOOKUP(G503,'rozdělení obchodníků'!B:D,3, )</f>
        <v>Morava</v>
      </c>
    </row>
    <row r="504" spans="2:9" x14ac:dyDescent="0.25">
      <c r="B504" s="1">
        <v>45952</v>
      </c>
      <c r="C504">
        <v>20220013797</v>
      </c>
      <c r="D504" t="s">
        <v>85</v>
      </c>
      <c r="E504" t="s">
        <v>80</v>
      </c>
      <c r="F504" t="s">
        <v>77</v>
      </c>
      <c r="G504" t="s">
        <v>14</v>
      </c>
      <c r="H504" s="2">
        <v>100000</v>
      </c>
      <c r="I504" t="str">
        <f>VLOOKUP(G504,'rozdělení obchodníků'!B:D,3, )</f>
        <v>Morava</v>
      </c>
    </row>
    <row r="505" spans="2:9" x14ac:dyDescent="0.25">
      <c r="B505" s="1">
        <v>45952</v>
      </c>
      <c r="C505">
        <v>20220013815</v>
      </c>
      <c r="D505" t="s">
        <v>85</v>
      </c>
      <c r="E505" t="s">
        <v>81</v>
      </c>
      <c r="F505" t="s">
        <v>77</v>
      </c>
      <c r="G505" t="s">
        <v>14</v>
      </c>
      <c r="H505" s="2">
        <v>150000</v>
      </c>
      <c r="I505" t="str">
        <f>VLOOKUP(G505,'rozdělení obchodníků'!B:D,3, )</f>
        <v>Morava</v>
      </c>
    </row>
    <row r="506" spans="2:9" x14ac:dyDescent="0.25">
      <c r="B506" s="1">
        <v>45956</v>
      </c>
      <c r="C506">
        <v>20220013869</v>
      </c>
      <c r="D506" t="s">
        <v>85</v>
      </c>
      <c r="E506" t="s">
        <v>80</v>
      </c>
      <c r="F506" t="s">
        <v>77</v>
      </c>
      <c r="G506" t="s">
        <v>14</v>
      </c>
      <c r="H506" s="2">
        <v>350000</v>
      </c>
      <c r="I506" t="str">
        <f>VLOOKUP(G506,'rozdělení obchodníků'!B:D,3, )</f>
        <v>Morava</v>
      </c>
    </row>
    <row r="507" spans="2:9" x14ac:dyDescent="0.25">
      <c r="B507" s="1">
        <v>45956</v>
      </c>
      <c r="C507">
        <v>20220013872</v>
      </c>
      <c r="D507" t="s">
        <v>85</v>
      </c>
      <c r="E507" t="s">
        <v>80</v>
      </c>
      <c r="F507" t="s">
        <v>77</v>
      </c>
      <c r="G507" t="s">
        <v>14</v>
      </c>
      <c r="H507" s="2">
        <v>1250000</v>
      </c>
      <c r="I507" t="str">
        <f>VLOOKUP(G507,'rozdělení obchodníků'!B:D,3, )</f>
        <v>Morava</v>
      </c>
    </row>
    <row r="508" spans="2:9" x14ac:dyDescent="0.25">
      <c r="B508" s="1">
        <v>45956</v>
      </c>
      <c r="C508">
        <v>20220013875</v>
      </c>
      <c r="D508" t="s">
        <v>85</v>
      </c>
      <c r="E508" t="s">
        <v>80</v>
      </c>
      <c r="F508" t="s">
        <v>77</v>
      </c>
      <c r="G508" t="s">
        <v>14</v>
      </c>
      <c r="H508" s="2">
        <v>100000</v>
      </c>
      <c r="I508" t="str">
        <f>VLOOKUP(G508,'rozdělení obchodníků'!B:D,3, )</f>
        <v>Morava</v>
      </c>
    </row>
    <row r="509" spans="2:9" hidden="1" x14ac:dyDescent="0.25">
      <c r="B509" s="1">
        <v>45963</v>
      </c>
      <c r="C509">
        <v>20220014043</v>
      </c>
      <c r="D509" t="s">
        <v>85</v>
      </c>
      <c r="E509" t="s">
        <v>80</v>
      </c>
      <c r="F509" t="s">
        <v>77</v>
      </c>
      <c r="G509" t="s">
        <v>48</v>
      </c>
      <c r="H509" s="2">
        <v>450000</v>
      </c>
      <c r="I509" t="str">
        <f>VLOOKUP(G509,'rozdělení obchodníků'!B:D,3, )</f>
        <v>Praha</v>
      </c>
    </row>
    <row r="510" spans="2:9" hidden="1" x14ac:dyDescent="0.25">
      <c r="B510" s="1">
        <v>45963</v>
      </c>
      <c r="C510">
        <v>20220014046</v>
      </c>
      <c r="D510" t="s">
        <v>85</v>
      </c>
      <c r="E510" t="s">
        <v>80</v>
      </c>
      <c r="F510" t="s">
        <v>77</v>
      </c>
      <c r="G510" t="s">
        <v>17</v>
      </c>
      <c r="H510" s="2">
        <v>350000</v>
      </c>
      <c r="I510" t="str">
        <f>VLOOKUP(G510,'rozdělení obchodníků'!B:D,3, )</f>
        <v>Morava</v>
      </c>
    </row>
    <row r="511" spans="2:9" hidden="1" x14ac:dyDescent="0.25">
      <c r="B511" s="1">
        <v>45963</v>
      </c>
      <c r="C511">
        <v>20220014049</v>
      </c>
      <c r="D511" t="s">
        <v>85</v>
      </c>
      <c r="E511" t="s">
        <v>80</v>
      </c>
      <c r="F511" t="s">
        <v>77</v>
      </c>
      <c r="G511" t="s">
        <v>17</v>
      </c>
      <c r="H511" s="2">
        <v>350000</v>
      </c>
      <c r="I511" t="str">
        <f>VLOOKUP(G511,'rozdělení obchodníků'!B:D,3, )</f>
        <v>Morava</v>
      </c>
    </row>
    <row r="512" spans="2:9" hidden="1" x14ac:dyDescent="0.25">
      <c r="B512" s="1">
        <v>45963</v>
      </c>
      <c r="C512">
        <v>20220014052</v>
      </c>
      <c r="D512" t="s">
        <v>85</v>
      </c>
      <c r="E512" t="s">
        <v>80</v>
      </c>
      <c r="F512" t="s">
        <v>77</v>
      </c>
      <c r="G512" t="s">
        <v>17</v>
      </c>
      <c r="H512" s="2">
        <v>350000</v>
      </c>
      <c r="I512" t="str">
        <f>VLOOKUP(G512,'rozdělení obchodníků'!B:D,3, )</f>
        <v>Morava</v>
      </c>
    </row>
    <row r="513" spans="2:9" hidden="1" x14ac:dyDescent="0.25">
      <c r="B513" s="1">
        <v>45963</v>
      </c>
      <c r="C513">
        <v>20220014055</v>
      </c>
      <c r="D513" t="s">
        <v>85</v>
      </c>
      <c r="E513" t="s">
        <v>80</v>
      </c>
      <c r="F513" t="s">
        <v>83</v>
      </c>
      <c r="G513" t="s">
        <v>8</v>
      </c>
      <c r="H513" s="2">
        <v>100000</v>
      </c>
      <c r="I513" t="str">
        <f>VLOOKUP(G513,'rozdělení obchodníků'!B:D,3, )</f>
        <v>Praha</v>
      </c>
    </row>
    <row r="514" spans="2:9" hidden="1" x14ac:dyDescent="0.25">
      <c r="B514" s="1">
        <v>45963</v>
      </c>
      <c r="C514">
        <v>20220014058</v>
      </c>
      <c r="D514" t="s">
        <v>85</v>
      </c>
      <c r="E514" t="s">
        <v>80</v>
      </c>
      <c r="F514" t="s">
        <v>83</v>
      </c>
      <c r="G514" t="s">
        <v>8</v>
      </c>
      <c r="H514" s="2">
        <v>100000</v>
      </c>
      <c r="I514" t="str">
        <f>VLOOKUP(G514,'rozdělení obchodníků'!B:D,3, )</f>
        <v>Praha</v>
      </c>
    </row>
    <row r="515" spans="2:9" hidden="1" x14ac:dyDescent="0.25">
      <c r="B515" s="1">
        <v>45963</v>
      </c>
      <c r="C515">
        <v>20220014061</v>
      </c>
      <c r="D515" t="s">
        <v>85</v>
      </c>
      <c r="E515" t="s">
        <v>80</v>
      </c>
      <c r="F515" t="s">
        <v>83</v>
      </c>
      <c r="G515" t="s">
        <v>8</v>
      </c>
      <c r="H515" s="2">
        <v>100000</v>
      </c>
      <c r="I515" t="str">
        <f>VLOOKUP(G515,'rozdělení obchodníků'!B:D,3, )</f>
        <v>Praha</v>
      </c>
    </row>
    <row r="516" spans="2:9" hidden="1" x14ac:dyDescent="0.25">
      <c r="B516" s="1">
        <v>45963</v>
      </c>
      <c r="C516">
        <v>20220014064</v>
      </c>
      <c r="D516" t="s">
        <v>85</v>
      </c>
      <c r="E516" t="s">
        <v>81</v>
      </c>
      <c r="F516" t="s">
        <v>77</v>
      </c>
      <c r="G516" t="s">
        <v>17</v>
      </c>
      <c r="H516" s="2">
        <v>600000</v>
      </c>
      <c r="I516" t="str">
        <f>VLOOKUP(G516,'rozdělení obchodníků'!B:D,3, )</f>
        <v>Morava</v>
      </c>
    </row>
    <row r="517" spans="2:9" hidden="1" x14ac:dyDescent="0.25">
      <c r="B517" s="1">
        <v>45963</v>
      </c>
      <c r="C517">
        <v>20220014067</v>
      </c>
      <c r="D517" t="s">
        <v>85</v>
      </c>
      <c r="E517" t="s">
        <v>81</v>
      </c>
      <c r="F517" t="s">
        <v>77</v>
      </c>
      <c r="G517" t="s">
        <v>17</v>
      </c>
      <c r="H517" s="2">
        <v>600000</v>
      </c>
      <c r="I517" t="str">
        <f>VLOOKUP(G517,'rozdělení obchodníků'!B:D,3, )</f>
        <v>Morava</v>
      </c>
    </row>
    <row r="518" spans="2:9" hidden="1" x14ac:dyDescent="0.25">
      <c r="B518" s="1">
        <v>45963</v>
      </c>
      <c r="C518">
        <v>20220014070</v>
      </c>
      <c r="D518" t="s">
        <v>85</v>
      </c>
      <c r="E518" t="s">
        <v>81</v>
      </c>
      <c r="F518" t="s">
        <v>77</v>
      </c>
      <c r="G518" t="s">
        <v>17</v>
      </c>
      <c r="H518" s="2">
        <v>600000</v>
      </c>
      <c r="I518" t="str">
        <f>VLOOKUP(G518,'rozdělení obchodníků'!B:D,3, )</f>
        <v>Morava</v>
      </c>
    </row>
    <row r="519" spans="2:9" hidden="1" x14ac:dyDescent="0.25">
      <c r="B519" s="1">
        <v>45964</v>
      </c>
      <c r="C519">
        <v>20220014073</v>
      </c>
      <c r="D519" t="s">
        <v>85</v>
      </c>
      <c r="E519" t="s">
        <v>82</v>
      </c>
      <c r="F519" t="s">
        <v>77</v>
      </c>
      <c r="G519" t="s">
        <v>2</v>
      </c>
      <c r="H519" s="2">
        <v>1000000</v>
      </c>
      <c r="I519" t="str">
        <f>VLOOKUP(G519,'rozdělení obchodníků'!B:D,3, )</f>
        <v>Čechy</v>
      </c>
    </row>
    <row r="520" spans="2:9" hidden="1" x14ac:dyDescent="0.25">
      <c r="B520" s="1">
        <v>45964</v>
      </c>
      <c r="C520">
        <v>20220014076</v>
      </c>
      <c r="D520" t="s">
        <v>85</v>
      </c>
      <c r="E520" t="s">
        <v>82</v>
      </c>
      <c r="F520" t="s">
        <v>77</v>
      </c>
      <c r="G520" t="s">
        <v>2</v>
      </c>
      <c r="H520" s="2">
        <v>100000</v>
      </c>
      <c r="I520" t="str">
        <f>VLOOKUP(G520,'rozdělení obchodníků'!B:D,3, )</f>
        <v>Čechy</v>
      </c>
    </row>
    <row r="521" spans="2:9" hidden="1" x14ac:dyDescent="0.25">
      <c r="B521" s="1">
        <v>45964</v>
      </c>
      <c r="C521">
        <v>20220014079</v>
      </c>
      <c r="D521" t="s">
        <v>85</v>
      </c>
      <c r="E521" t="s">
        <v>82</v>
      </c>
      <c r="F521" t="s">
        <v>77</v>
      </c>
      <c r="G521" t="s">
        <v>2</v>
      </c>
      <c r="H521" s="2">
        <v>1000000</v>
      </c>
      <c r="I521" t="str">
        <f>VLOOKUP(G521,'rozdělení obchodníků'!B:D,3, )</f>
        <v>Čechy</v>
      </c>
    </row>
    <row r="522" spans="2:9" x14ac:dyDescent="0.25">
      <c r="B522" s="1"/>
      <c r="H522" s="2">
        <f>SUBTOTAL(109,Tabulka1[výše investice])</f>
        <v>264400000</v>
      </c>
    </row>
  </sheetData>
  <sortState xmlns:xlrd2="http://schemas.microsoft.com/office/spreadsheetml/2017/richdata2" ref="B3:H521">
    <sortCondition ref="B3:B521"/>
  </sortState>
  <phoneticPr fontId="1" type="noConversion"/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2609E-586C-45FF-9F45-5FE5889A3B69}">
  <dimension ref="B3:H36"/>
  <sheetViews>
    <sheetView tabSelected="1" workbookViewId="0">
      <selection activeCell="J19" sqref="J19"/>
    </sheetView>
  </sheetViews>
  <sheetFormatPr defaultRowHeight="15" x14ac:dyDescent="0.25"/>
  <cols>
    <col min="4" max="4" width="18.42578125" bestFit="1" customWidth="1"/>
    <col min="5" max="5" width="16" bestFit="1" customWidth="1"/>
    <col min="7" max="7" width="6.7109375" customWidth="1"/>
  </cols>
  <sheetData>
    <row r="3" spans="2:7" x14ac:dyDescent="0.25">
      <c r="B3" t="s">
        <v>72</v>
      </c>
    </row>
    <row r="5" spans="2:7" x14ac:dyDescent="0.25">
      <c r="B5" s="7" t="s">
        <v>73</v>
      </c>
      <c r="C5" s="7" t="s">
        <v>20</v>
      </c>
      <c r="D5" s="7" t="s">
        <v>78</v>
      </c>
    </row>
    <row r="6" spans="2:7" x14ac:dyDescent="0.25">
      <c r="B6" s="5">
        <v>45901</v>
      </c>
      <c r="C6" s="4" t="s">
        <v>33</v>
      </c>
      <c r="D6" s="6">
        <v>80000000</v>
      </c>
    </row>
    <row r="7" spans="2:7" x14ac:dyDescent="0.25">
      <c r="B7" s="5">
        <v>45901</v>
      </c>
      <c r="C7" s="4" t="s">
        <v>74</v>
      </c>
      <c r="D7" s="6">
        <v>60000000</v>
      </c>
    </row>
    <row r="8" spans="2:7" x14ac:dyDescent="0.25">
      <c r="B8" s="5">
        <v>45901</v>
      </c>
      <c r="C8" s="4" t="s">
        <v>75</v>
      </c>
      <c r="D8" s="6">
        <v>55000000</v>
      </c>
    </row>
    <row r="9" spans="2:7" x14ac:dyDescent="0.25">
      <c r="B9" s="12">
        <v>45931</v>
      </c>
      <c r="C9" s="13" t="s">
        <v>33</v>
      </c>
      <c r="D9" s="14">
        <v>105000000</v>
      </c>
      <c r="G9" s="3"/>
    </row>
    <row r="10" spans="2:7" x14ac:dyDescent="0.25">
      <c r="B10" s="12">
        <v>45931</v>
      </c>
      <c r="C10" s="13" t="s">
        <v>74</v>
      </c>
      <c r="D10" s="14">
        <v>95000000</v>
      </c>
      <c r="G10" s="3"/>
    </row>
    <row r="11" spans="2:7" x14ac:dyDescent="0.25">
      <c r="B11" s="12">
        <v>45931</v>
      </c>
      <c r="C11" s="13" t="s">
        <v>75</v>
      </c>
      <c r="D11" s="14">
        <v>75000000</v>
      </c>
      <c r="G11" s="3"/>
    </row>
    <row r="12" spans="2:7" x14ac:dyDescent="0.25">
      <c r="B12" s="5">
        <v>45962</v>
      </c>
      <c r="C12" s="4" t="s">
        <v>33</v>
      </c>
      <c r="D12" s="6">
        <v>120000000</v>
      </c>
    </row>
    <row r="13" spans="2:7" x14ac:dyDescent="0.25">
      <c r="B13" s="5">
        <v>45962</v>
      </c>
      <c r="C13" s="4" t="s">
        <v>74</v>
      </c>
      <c r="D13" s="6">
        <v>100000000</v>
      </c>
    </row>
    <row r="14" spans="2:7" x14ac:dyDescent="0.25">
      <c r="B14" s="5">
        <v>45962</v>
      </c>
      <c r="C14" s="4" t="s">
        <v>75</v>
      </c>
      <c r="D14" s="6">
        <v>95000000</v>
      </c>
    </row>
    <row r="15" spans="2:7" x14ac:dyDescent="0.25">
      <c r="B15" s="5">
        <v>45992</v>
      </c>
      <c r="C15" s="4" t="s">
        <v>33</v>
      </c>
      <c r="D15" s="6">
        <v>80000000</v>
      </c>
    </row>
    <row r="16" spans="2:7" x14ac:dyDescent="0.25">
      <c r="B16" s="5">
        <v>45992</v>
      </c>
      <c r="C16" s="4" t="s">
        <v>74</v>
      </c>
      <c r="D16" s="6">
        <v>60000000</v>
      </c>
    </row>
    <row r="17" spans="2:8" x14ac:dyDescent="0.25">
      <c r="B17" s="5">
        <v>45992</v>
      </c>
      <c r="C17" s="4" t="s">
        <v>75</v>
      </c>
      <c r="D17" s="6">
        <v>50000000</v>
      </c>
    </row>
    <row r="20" spans="2:8" x14ac:dyDescent="0.25">
      <c r="D20" s="3">
        <f>SUM(D9:D11)</f>
        <v>275000000</v>
      </c>
    </row>
    <row r="26" spans="2:8" x14ac:dyDescent="0.25">
      <c r="D26" t="s">
        <v>87</v>
      </c>
    </row>
    <row r="29" spans="2:8" x14ac:dyDescent="0.25">
      <c r="D29" t="s">
        <v>88</v>
      </c>
      <c r="E29" s="3">
        <v>264400000</v>
      </c>
      <c r="H29" t="s">
        <v>91</v>
      </c>
    </row>
    <row r="30" spans="2:8" x14ac:dyDescent="0.25">
      <c r="D30" t="s">
        <v>89</v>
      </c>
      <c r="E30" s="3">
        <f>SUM(D9:D11)</f>
        <v>275000000</v>
      </c>
      <c r="H30" t="s">
        <v>92</v>
      </c>
    </row>
    <row r="31" spans="2:8" x14ac:dyDescent="0.25">
      <c r="E31" s="3">
        <f>E29-E30</f>
        <v>-10600000</v>
      </c>
    </row>
    <row r="36" spans="5:5" x14ac:dyDescent="0.25">
      <c r="E36" t="s">
        <v>90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9FE8F3-743C-4413-A6E8-CC0CFA511A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zadání</vt:lpstr>
      <vt:lpstr>rozdělení obchodníků</vt:lpstr>
      <vt:lpstr>prodeje</vt:lpstr>
      <vt:lpstr>Obchodní plán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Tintěra</dc:creator>
  <cp:lastModifiedBy>Ondřej Švorc</cp:lastModifiedBy>
  <dcterms:created xsi:type="dcterms:W3CDTF">2023-01-06T15:36:19Z</dcterms:created>
  <dcterms:modified xsi:type="dcterms:W3CDTF">2026-01-05T08:50:38Z</dcterms:modified>
</cp:coreProperties>
</file>