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JEP\AVD1\"/>
    </mc:Choice>
  </mc:AlternateContent>
  <xr:revisionPtr revIDLastSave="0" documentId="13_ncr:1_{6AE8760F-79D0-455D-B1F1-E5D9ECC76D1E}" xr6:coauthVersionLast="47" xr6:coauthVersionMax="47" xr10:uidLastSave="{00000000-0000-0000-0000-000000000000}"/>
  <bookViews>
    <workbookView xWindow="-120" yWindow="-120" windowWidth="29040" windowHeight="17520" xr2:uid="{3095BA0B-7F52-4A9A-9669-92A26B1E4A80}"/>
  </bookViews>
  <sheets>
    <sheet name="zadání" sheetId="1" r:id="rId1"/>
    <sheet name="rozdělení k operátorům" sheetId="2" r:id="rId2"/>
    <sheet name="Operátoři" sheetId="3" r:id="rId3"/>
    <sheet name="výstup z volání" sheetId="4" r:id="rId4"/>
  </sheets>
  <definedNames>
    <definedName name="_xlnm._FilterDatabase" localSheetId="1" hidden="1">'rozdělení k operátorům'!$A$1:$C$151</definedName>
    <definedName name="_xlnm._FilterDatabase" localSheetId="3" hidden="1">'výstup z volání'!$B$2:$D$158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9" i="4" l="1"/>
  <c r="N28" i="4"/>
  <c r="N27" i="4"/>
  <c r="R24" i="4"/>
  <c r="R23" i="4"/>
  <c r="R22" i="4"/>
  <c r="R21" i="4"/>
  <c r="R20" i="4"/>
  <c r="R19" i="4"/>
  <c r="O11" i="4"/>
  <c r="P6" i="4"/>
  <c r="P5" i="4"/>
  <c r="P4" i="4"/>
  <c r="P3" i="4"/>
  <c r="O6" i="4"/>
  <c r="O5" i="4"/>
  <c r="O4" i="4"/>
  <c r="O3" i="4"/>
</calcChain>
</file>

<file path=xl/sharedStrings.xml><?xml version="1.0" encoding="utf-8"?>
<sst xmlns="http://schemas.openxmlformats.org/spreadsheetml/2006/main" count="819" uniqueCount="208">
  <si>
    <t>ID GAMA</t>
  </si>
  <si>
    <t>Operátor CC</t>
  </si>
  <si>
    <t>GAMAX32</t>
  </si>
  <si>
    <t>CC5</t>
  </si>
  <si>
    <t>GAMAX96</t>
  </si>
  <si>
    <t>CC6</t>
  </si>
  <si>
    <t>GAMAX97</t>
  </si>
  <si>
    <t>GAMAX113</t>
  </si>
  <si>
    <t>GAMAX115</t>
  </si>
  <si>
    <t>GAMAX116</t>
  </si>
  <si>
    <t>GAMAX132</t>
  </si>
  <si>
    <t>GAMAX137</t>
  </si>
  <si>
    <t>CC2</t>
  </si>
  <si>
    <t>GAMAX150</t>
  </si>
  <si>
    <t>GAMAX34</t>
  </si>
  <si>
    <t>GAMAX92</t>
  </si>
  <si>
    <t>GAMAX20</t>
  </si>
  <si>
    <t>GAMAX2</t>
  </si>
  <si>
    <t>GAMAX5</t>
  </si>
  <si>
    <t>GAMAX10</t>
  </si>
  <si>
    <t>CC1</t>
  </si>
  <si>
    <t>GAMAX12</t>
  </si>
  <si>
    <t>CC3</t>
  </si>
  <si>
    <t>GAMAX16</t>
  </si>
  <si>
    <t>GAMAX21</t>
  </si>
  <si>
    <t>GAMAX22</t>
  </si>
  <si>
    <t>CC4</t>
  </si>
  <si>
    <t>GAMAX24</t>
  </si>
  <si>
    <t>GAMAX27</t>
  </si>
  <si>
    <t>GAMAX29</t>
  </si>
  <si>
    <t>GAMAX30</t>
  </si>
  <si>
    <t>GAMAX33</t>
  </si>
  <si>
    <t>GAMAX35</t>
  </si>
  <si>
    <t>GAMAX36</t>
  </si>
  <si>
    <t>GAMAX39</t>
  </si>
  <si>
    <t>GAMAX40</t>
  </si>
  <si>
    <t>GAMAX41</t>
  </si>
  <si>
    <t>GAMAX43</t>
  </si>
  <si>
    <t>GAMAX45</t>
  </si>
  <si>
    <t>GAMAX46</t>
  </si>
  <si>
    <t>GAMAX48</t>
  </si>
  <si>
    <t>GAMAX49</t>
  </si>
  <si>
    <t>GAMAX51</t>
  </si>
  <si>
    <t>GAMAX53</t>
  </si>
  <si>
    <t>GAMAX55</t>
  </si>
  <si>
    <t>GAMAX56</t>
  </si>
  <si>
    <t>GAMAX59</t>
  </si>
  <si>
    <t>GAMAX60</t>
  </si>
  <si>
    <t>GAMAX62</t>
  </si>
  <si>
    <t>GAMAX65</t>
  </si>
  <si>
    <t>GAMAX66</t>
  </si>
  <si>
    <t>GAMAX67</t>
  </si>
  <si>
    <t>GAMAX69</t>
  </si>
  <si>
    <t>GAMAX72</t>
  </si>
  <si>
    <t>GAMAX73</t>
  </si>
  <si>
    <t>GAMAX74</t>
  </si>
  <si>
    <t>GAMAX75</t>
  </si>
  <si>
    <t>GAMAX77</t>
  </si>
  <si>
    <t>GAMAX80</t>
  </si>
  <si>
    <t>GAMAX84</t>
  </si>
  <si>
    <t>GAMAX85</t>
  </si>
  <si>
    <t>GAMAX88</t>
  </si>
  <si>
    <t>GAMAX89</t>
  </si>
  <si>
    <t>GAMAX91</t>
  </si>
  <si>
    <t>GAMAX93</t>
  </si>
  <si>
    <t>GAMAX95</t>
  </si>
  <si>
    <t>GAMAX100</t>
  </si>
  <si>
    <t>GAMAX101</t>
  </si>
  <si>
    <t>GAMAX104</t>
  </si>
  <si>
    <t>GAMAX105</t>
  </si>
  <si>
    <t>GAMAX109</t>
  </si>
  <si>
    <t>GAMAX110</t>
  </si>
  <si>
    <t>GAMAX111</t>
  </si>
  <si>
    <t>GAMAX118</t>
  </si>
  <si>
    <t>GAMAX120</t>
  </si>
  <si>
    <t>GAMAX121</t>
  </si>
  <si>
    <t>GAMAX125</t>
  </si>
  <si>
    <t>GAMAX133</t>
  </si>
  <si>
    <t>GAMAX136</t>
  </si>
  <si>
    <t>GAMAX138</t>
  </si>
  <si>
    <t>GAMAX141</t>
  </si>
  <si>
    <t>GAMAX143</t>
  </si>
  <si>
    <t>GAMAX145</t>
  </si>
  <si>
    <t>GAMAX147</t>
  </si>
  <si>
    <t>GAMAX148</t>
  </si>
  <si>
    <t>GAMAX14</t>
  </si>
  <si>
    <t>GAMAX18</t>
  </si>
  <si>
    <t>GAMAX25</t>
  </si>
  <si>
    <t>GAMAX50</t>
  </si>
  <si>
    <t>GAMAX54</t>
  </si>
  <si>
    <t>GAMAX68</t>
  </si>
  <si>
    <t>GAMAX76</t>
  </si>
  <si>
    <t>GAMAX83</t>
  </si>
  <si>
    <t>GAMAX107</t>
  </si>
  <si>
    <t>GAMAX114</t>
  </si>
  <si>
    <t>GAMAX3</t>
  </si>
  <si>
    <t>GAMAX8</t>
  </si>
  <si>
    <t>GAMAX13</t>
  </si>
  <si>
    <t>GAMAX19</t>
  </si>
  <si>
    <t>GAMAX26</t>
  </si>
  <si>
    <t>GAMAX31</t>
  </si>
  <si>
    <t>GAMAX38</t>
  </si>
  <si>
    <t>GAMAX42</t>
  </si>
  <si>
    <t>GAMAX47</t>
  </si>
  <si>
    <t>GAMAX52</t>
  </si>
  <si>
    <t>GAMAX57</t>
  </si>
  <si>
    <t>GAMAX63</t>
  </si>
  <si>
    <t>GAMAX70</t>
  </si>
  <si>
    <t>GAMAX78</t>
  </si>
  <si>
    <t>GAMAX86</t>
  </si>
  <si>
    <t>GAMAX90</t>
  </si>
  <si>
    <t>GAMAX94</t>
  </si>
  <si>
    <t>GAMAX103</t>
  </si>
  <si>
    <t>GAMAX99</t>
  </si>
  <si>
    <t>GAMAX23</t>
  </si>
  <si>
    <t>GAMAX98</t>
  </si>
  <si>
    <t>GAMAX112</t>
  </si>
  <si>
    <t>GAMAX122</t>
  </si>
  <si>
    <t>GAMAX126</t>
  </si>
  <si>
    <t>GAMAX129</t>
  </si>
  <si>
    <t>GAMAX130</t>
  </si>
  <si>
    <t>GAMAX44</t>
  </si>
  <si>
    <t>GAMAX117</t>
  </si>
  <si>
    <t>GAMAX123</t>
  </si>
  <si>
    <t>GAMAX134</t>
  </si>
  <si>
    <t>GAMAX146</t>
  </si>
  <si>
    <t>GAMAX6</t>
  </si>
  <si>
    <t>GAMAX9</t>
  </si>
  <si>
    <t>GAMAX28</t>
  </si>
  <si>
    <t>GAMAX37</t>
  </si>
  <si>
    <t>GAMAX58</t>
  </si>
  <si>
    <t>GAMAX61</t>
  </si>
  <si>
    <t>GAMAX64</t>
  </si>
  <si>
    <t>GAMAX71</t>
  </si>
  <si>
    <t>GAMAX79</t>
  </si>
  <si>
    <t>GAMAX87</t>
  </si>
  <si>
    <t>GAMAX102</t>
  </si>
  <si>
    <t>GAMAX127</t>
  </si>
  <si>
    <t>GAMAX128</t>
  </si>
  <si>
    <t>GAMAX131</t>
  </si>
  <si>
    <t>GAMAX140</t>
  </si>
  <si>
    <t>GAMAX142</t>
  </si>
  <si>
    <t>GAMAX149</t>
  </si>
  <si>
    <t>GAMAX1</t>
  </si>
  <si>
    <t>GAMAX4</t>
  </si>
  <si>
    <t>GAMAX7</t>
  </si>
  <si>
    <t>GAMAX11</t>
  </si>
  <si>
    <t>GAMAX15</t>
  </si>
  <si>
    <t>GAMAX17</t>
  </si>
  <si>
    <t>GAMAX81</t>
  </si>
  <si>
    <t>GAMAX82</t>
  </si>
  <si>
    <t>GAMAX106</t>
  </si>
  <si>
    <t>GAMAX108</t>
  </si>
  <si>
    <t>GAMAX119</t>
  </si>
  <si>
    <t>GAMAX124</t>
  </si>
  <si>
    <t>GAMAX135</t>
  </si>
  <si>
    <t>GAMAX139</t>
  </si>
  <si>
    <t>GAMAX144</t>
  </si>
  <si>
    <t>Jméno</t>
  </si>
  <si>
    <t>Josef Kopic</t>
  </si>
  <si>
    <t>klient</t>
  </si>
  <si>
    <t>výsledek volání</t>
  </si>
  <si>
    <t>datum volání</t>
  </si>
  <si>
    <t>nedovoláno</t>
  </si>
  <si>
    <t>4.1.2023</t>
  </si>
  <si>
    <t>3.1.2023</t>
  </si>
  <si>
    <t>2.1.2023</t>
  </si>
  <si>
    <t>5.1.2023</t>
  </si>
  <si>
    <t>přechod k jinému poskytovateli</t>
  </si>
  <si>
    <t>rozmýšlí si</t>
  </si>
  <si>
    <t>zůstává s premií</t>
  </si>
  <si>
    <t>pom</t>
  </si>
  <si>
    <t>Jan Vokurka</t>
  </si>
  <si>
    <t>Jan Veselková</t>
  </si>
  <si>
    <t>Vendelín Zima</t>
  </si>
  <si>
    <t>Jiří Zbyšek</t>
  </si>
  <si>
    <t>Karolína Vopatová</t>
  </si>
  <si>
    <t>1 klient = 200 Kč / měsíc</t>
  </si>
  <si>
    <t>1 realizovaný hovor = 95 Kč</t>
  </si>
  <si>
    <t>1 hovor, kdy se nedovolá = 130 Kč</t>
  </si>
  <si>
    <t>Měsíc prosinec 2022</t>
  </si>
  <si>
    <t>Z pohledu firmy GAMA (telekomunikační firma)</t>
  </si>
  <si>
    <t>1h na vypracování</t>
  </si>
  <si>
    <t>Má/Nemá smysl dělat retenční nabídky nebo nikoliv</t>
  </si>
  <si>
    <t>Výstup:</t>
  </si>
  <si>
    <t>Jak to dopadlo celkově (za všechny operátory, …)</t>
  </si>
  <si>
    <t>Prezentace, málo slidů, je to pro ředitele divize, má na to 10 minut času</t>
  </si>
  <si>
    <t>Podali v prosinci výpověď, hned na začátku v lednu jim zavolali operátoři.</t>
  </si>
  <si>
    <t>350 Kč/měsíčně bonus - prvních 6 měsíců vám budu posílat 350 Kč</t>
  </si>
  <si>
    <t>Normálně platí 200 Kč, ale prvních 6 měsíců mu prostě posíláme 350 Kč, takže jako je v plusu 150 Kč klient</t>
  </si>
  <si>
    <t>nedovoláno:</t>
  </si>
  <si>
    <t>náklad za přijatý hovor:</t>
  </si>
  <si>
    <t>náklad za nepřijatý hovor:</t>
  </si>
  <si>
    <t>přechod k jinému poskytovateli:</t>
  </si>
  <si>
    <t>rozmýšlí si:</t>
  </si>
  <si>
    <t>zůstává s premií:</t>
  </si>
  <si>
    <t>náklad</t>
  </si>
  <si>
    <t>počet</t>
  </si>
  <si>
    <t>celkové náklady:</t>
  </si>
  <si>
    <t>fakta:</t>
  </si>
  <si>
    <t>sleva 350 Kč/měsíc na 6 měsíců při prodloužení smlouvy o 18 měsíců (aplikujeme momentálně pouze na ty, co zůstávají s prémií)</t>
  </si>
  <si>
    <t>každý klient co má u vaší společnosti smlouvu, generuje průměrný výnos 200 Kč měsíčně</t>
  </si>
  <si>
    <t>18 měsíců přináší 200 Kč/měsíčně</t>
  </si>
  <si>
    <t>Zároveň mu ale dáváme slevu 350 Kč/měsíčně po dobu 6 měsíců</t>
  </si>
  <si>
    <t>Tedy po odečtení, čistý výnos z klienta, který zůstane bude za 18 měsíců</t>
  </si>
  <si>
    <t>Čistý výnos z klientů, kteří zůstanou bude za 18 měsíců:</t>
  </si>
  <si>
    <t>Čistý výnos retenční kampaně:</t>
  </si>
  <si>
    <t>Poměr návratnosti (ROI):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</si>
</sst>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#,##0\ &quot;Kč&quot;"/>
  </numFmts>
  <fonts count="2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166" fontId="0" fillId="0" borderId="0" xfId="0" applyNumberFormat="1"/>
    <xf numFmtId="0" fontId="1" fillId="0" borderId="0" xfId="0" applyFont="1" applyAlignment="1">
      <alignment horizontal="right"/>
    </xf>
    <xf numFmtId="0" fontId="0" fillId="0" borderId="1" xfId="0" applyBorder="1"/>
    <xf numFmtId="0" fontId="1" fillId="0" borderId="1" xfId="0" applyFont="1" applyBorder="1"/>
    <xf numFmtId="0" fontId="1" fillId="0" borderId="1" xfId="0" applyFont="1" applyBorder="1" applyAlignment="1">
      <alignment horizontal="right"/>
    </xf>
    <xf numFmtId="166" fontId="0" fillId="0" borderId="1" xfId="0" applyNumberFormat="1" applyBorder="1"/>
    <xf numFmtId="0" fontId="1" fillId="0" borderId="0" xfId="0" applyFont="1" applyFill="1" applyBorder="1" applyAlignment="1">
      <alignment horizontal="right"/>
    </xf>
    <xf numFmtId="0" fontId="0" fillId="0" borderId="0" xfId="0" applyAlignment="1">
      <alignment wrapText="1"/>
    </xf>
    <xf numFmtId="9" fontId="0" fillId="0" borderId="0" xfId="0" applyNumberFormat="1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17</xdr:col>
      <xdr:colOff>566057</xdr:colOff>
      <xdr:row>20</xdr:row>
      <xdr:rowOff>180975</xdr:rowOff>
    </xdr:to>
    <xdr:sp macro="" textlink="">
      <xdr:nvSpPr>
        <xdr:cNvPr id="2" name="TextovéPole 1">
          <a:extLst>
            <a:ext uri="{FF2B5EF4-FFF2-40B4-BE49-F238E27FC236}">
              <a16:creationId xmlns:a16="http://schemas.microsoft.com/office/drawing/2014/main" id="{E84EC19A-FB03-443C-9484-705B9BF31915}"/>
            </a:ext>
          </a:extLst>
        </xdr:cNvPr>
        <xdr:cNvSpPr txBox="1"/>
      </xdr:nvSpPr>
      <xdr:spPr>
        <a:xfrm>
          <a:off x="0" y="0"/>
          <a:ext cx="10929257" cy="39909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cs-CZ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Zadání:</a:t>
          </a:r>
        </a:p>
        <a:p>
          <a:r>
            <a:rPr lang="cs-CZ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Pracujete jako datový analytik v telekomunikační firmě GAMA, konkrétně v oddělení retencí. To je součástí</a:t>
          </a:r>
          <a:r>
            <a:rPr lang="cs-CZ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obchodní divize Prodej.</a:t>
          </a:r>
          <a:endParaRPr lang="cs-CZ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cs-CZ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cs-CZ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Ve vašem útvaru pracuje 6</a:t>
          </a:r>
          <a:r>
            <a:rPr lang="cs-CZ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operátorů telefonního Call centra, jenž obvolávají klienty, co podali u vaší společnosti výpověď smlouvy a chtějí odejít. Ztráta každého klienta je pro společnost velmi citelná i po finanční stránce. Každý klient co má u vaší společnosti smlouvu, generuje průměrný výnos 200 Kč měsíčně.</a:t>
          </a:r>
        </a:p>
        <a:p>
          <a:r>
            <a:rPr lang="cs-CZ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</a:p>
        <a:p>
          <a:r>
            <a:rPr lang="cs-CZ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Za prosinec 2022 máte sestavu klientů, kteří podali u vaší společnosti výpověď (skončili by k 31.3.2023) </a:t>
          </a:r>
          <a:r>
            <a:rPr lang="cs-CZ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 vaše</a:t>
          </a:r>
          <a:r>
            <a:rPr lang="cs-CZ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oddělení je nyní postupně všechny oslovuje s tím, aby u společnosti GAMA zůstali. Pouze vaše oddělení má pro ně exclusivní nabídku, že když zůstanou (uzavřou smlouvu na dobu na 18 měsíců), získají cenový benefit 350 Kč/měsíčně na období šesti měsíců. </a:t>
          </a:r>
        </a:p>
        <a:p>
          <a:endParaRPr lang="cs-CZ" sz="110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cs-CZ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Od operátorů, máte informaci, že už každý kontakt zpracovali. Buď se dovolali nebo to 3x zkoušeli a nedovolali se. Všechny výsledky hovorů zaznamenali . Výsledkem tedy může být Nedovoláno, Přechod k jinému poskytovateli, Rozmýšlí se, Zůstává s prémií). Z datového skladu jste si vytáhli výsledek obvolávání této sestavy.  </a:t>
          </a:r>
        </a:p>
        <a:p>
          <a:r>
            <a:rPr lang="cs-CZ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Víte, že každý hovor, kdy pracovník vašeho útvaru s klientem spojí stojí 95 Kč. V případě, že se nedovolá jsou náklady 35 Kč. </a:t>
          </a:r>
        </a:p>
        <a:p>
          <a:endParaRPr lang="cs-CZ" sz="110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cs-CZ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Vaším úkolem je nyní zpracovat výsledek z retenčních hovorů sestavy za měsíc prosinec 2022 z pohledu firmy GAMA.</a:t>
          </a:r>
        </a:p>
        <a:p>
          <a:endParaRPr lang="cs-CZ" sz="110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cs-CZ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Zadání jste se dozvěděli nyní a za hodinu máte jít výsledek prezentovat řediteli divize Prodej, jenž si pro vás vyčlenil maximálně 10 minut svého času (ale bude rád, když to bude méně). </a:t>
          </a:r>
        </a:p>
        <a:p>
          <a:r>
            <a:rPr lang="cs-CZ" sz="1100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Je známý tím, že rád dostává takové výstupy, které velmi snadno může použít na regionálních poradách či poradách obchodních týmů.</a:t>
          </a:r>
        </a:p>
        <a:p>
          <a:endParaRPr lang="cs-CZ" sz="110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Motiv Office 2013–2022">
  <a:themeElements>
    <a:clrScheme name="Office 2013 –⁠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⁠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⁠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BBF42A-8CD6-4237-A231-43DC87C170B1}">
  <sheetPr>
    <tabColor rgb="FFFFFF00"/>
  </sheetPr>
  <dimension ref="A24:M33"/>
  <sheetViews>
    <sheetView showGridLines="0" tabSelected="1" topLeftCell="A4" zoomScale="130" zoomScaleNormal="130" workbookViewId="0">
      <selection activeCell="K25" sqref="K25"/>
    </sheetView>
  </sheetViews>
  <sheetFormatPr defaultRowHeight="15" x14ac:dyDescent="0.25"/>
  <sheetData>
    <row r="24" spans="1:13" x14ac:dyDescent="0.25">
      <c r="A24" t="s">
        <v>177</v>
      </c>
      <c r="M24" t="s">
        <v>188</v>
      </c>
    </row>
    <row r="25" spans="1:13" x14ac:dyDescent="0.25">
      <c r="A25" t="s">
        <v>178</v>
      </c>
      <c r="M25" t="s">
        <v>189</v>
      </c>
    </row>
    <row r="26" spans="1:13" x14ac:dyDescent="0.25">
      <c r="A26" t="s">
        <v>179</v>
      </c>
    </row>
    <row r="27" spans="1:13" x14ac:dyDescent="0.25">
      <c r="A27" t="s">
        <v>180</v>
      </c>
    </row>
    <row r="28" spans="1:13" x14ac:dyDescent="0.25">
      <c r="A28" t="s">
        <v>181</v>
      </c>
    </row>
    <row r="29" spans="1:13" x14ac:dyDescent="0.25">
      <c r="A29" t="s">
        <v>182</v>
      </c>
    </row>
    <row r="31" spans="1:13" x14ac:dyDescent="0.25">
      <c r="A31" t="s">
        <v>184</v>
      </c>
      <c r="B31" t="s">
        <v>183</v>
      </c>
    </row>
    <row r="32" spans="1:13" x14ac:dyDescent="0.25">
      <c r="B32" t="s">
        <v>186</v>
      </c>
    </row>
    <row r="33" spans="2:2" x14ac:dyDescent="0.25">
      <c r="B33" t="s">
        <v>185</v>
      </c>
    </row>
  </sheetData>
  <pageMargins left="0.7" right="0.7" top="0.78740157499999996" bottom="0.78740157499999996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D75D7-CF39-473F-858F-B4268518AB15}">
  <dimension ref="A1:C151"/>
  <sheetViews>
    <sheetView workbookViewId="0">
      <selection activeCell="F43" sqref="F43"/>
    </sheetView>
  </sheetViews>
  <sheetFormatPr defaultRowHeight="15" x14ac:dyDescent="0.25"/>
  <cols>
    <col min="1" max="1" width="11.42578125" bestFit="1" customWidth="1"/>
    <col min="2" max="2" width="14" bestFit="1" customWidth="1"/>
    <col min="3" max="3" width="7.28515625" bestFit="1" customWidth="1"/>
  </cols>
  <sheetData>
    <row r="1" spans="1:3" x14ac:dyDescent="0.25">
      <c r="A1" s="1" t="s">
        <v>0</v>
      </c>
      <c r="B1" s="1" t="s">
        <v>1</v>
      </c>
      <c r="C1" s="1" t="s">
        <v>171</v>
      </c>
    </row>
    <row r="2" spans="1:3" x14ac:dyDescent="0.25">
      <c r="A2" t="s">
        <v>2</v>
      </c>
      <c r="B2" t="s">
        <v>3</v>
      </c>
      <c r="C2">
        <v>1</v>
      </c>
    </row>
    <row r="3" spans="1:3" x14ac:dyDescent="0.25">
      <c r="A3" t="s">
        <v>4</v>
      </c>
      <c r="B3" t="s">
        <v>5</v>
      </c>
      <c r="C3">
        <v>2</v>
      </c>
    </row>
    <row r="4" spans="1:3" x14ac:dyDescent="0.25">
      <c r="A4" t="s">
        <v>6</v>
      </c>
      <c r="B4" t="s">
        <v>5</v>
      </c>
      <c r="C4">
        <v>3</v>
      </c>
    </row>
    <row r="5" spans="1:3" x14ac:dyDescent="0.25">
      <c r="A5" t="s">
        <v>7</v>
      </c>
      <c r="B5" t="s">
        <v>3</v>
      </c>
      <c r="C5">
        <v>4</v>
      </c>
    </row>
    <row r="6" spans="1:3" x14ac:dyDescent="0.25">
      <c r="A6" t="s">
        <v>8</v>
      </c>
      <c r="B6" t="s">
        <v>5</v>
      </c>
      <c r="C6">
        <v>5</v>
      </c>
    </row>
    <row r="7" spans="1:3" x14ac:dyDescent="0.25">
      <c r="A7" t="s">
        <v>9</v>
      </c>
      <c r="B7" t="s">
        <v>5</v>
      </c>
      <c r="C7">
        <v>6</v>
      </c>
    </row>
    <row r="8" spans="1:3" x14ac:dyDescent="0.25">
      <c r="A8" t="s">
        <v>10</v>
      </c>
      <c r="B8" t="s">
        <v>5</v>
      </c>
      <c r="C8">
        <v>7</v>
      </c>
    </row>
    <row r="9" spans="1:3" x14ac:dyDescent="0.25">
      <c r="A9" t="s">
        <v>11</v>
      </c>
      <c r="B9" t="s">
        <v>12</v>
      </c>
      <c r="C9">
        <v>8</v>
      </c>
    </row>
    <row r="10" spans="1:3" x14ac:dyDescent="0.25">
      <c r="A10" t="s">
        <v>13</v>
      </c>
      <c r="B10" t="s">
        <v>5</v>
      </c>
      <c r="C10">
        <v>9</v>
      </c>
    </row>
    <row r="11" spans="1:3" x14ac:dyDescent="0.25">
      <c r="A11" t="s">
        <v>14</v>
      </c>
      <c r="B11" t="s">
        <v>5</v>
      </c>
      <c r="C11">
        <v>10</v>
      </c>
    </row>
    <row r="12" spans="1:3" x14ac:dyDescent="0.25">
      <c r="A12" t="s">
        <v>15</v>
      </c>
      <c r="B12" t="s">
        <v>12</v>
      </c>
      <c r="C12">
        <v>11</v>
      </c>
    </row>
    <row r="13" spans="1:3" x14ac:dyDescent="0.25">
      <c r="A13" t="s">
        <v>16</v>
      </c>
      <c r="B13" t="s">
        <v>12</v>
      </c>
      <c r="C13">
        <v>12</v>
      </c>
    </row>
    <row r="14" spans="1:3" x14ac:dyDescent="0.25">
      <c r="A14" t="s">
        <v>17</v>
      </c>
      <c r="B14" t="s">
        <v>12</v>
      </c>
      <c r="C14">
        <v>13</v>
      </c>
    </row>
    <row r="15" spans="1:3" x14ac:dyDescent="0.25">
      <c r="A15" t="s">
        <v>18</v>
      </c>
      <c r="B15" t="s">
        <v>3</v>
      </c>
      <c r="C15">
        <v>14</v>
      </c>
    </row>
    <row r="16" spans="1:3" x14ac:dyDescent="0.25">
      <c r="A16" t="s">
        <v>19</v>
      </c>
      <c r="B16" t="s">
        <v>20</v>
      </c>
      <c r="C16">
        <v>15</v>
      </c>
    </row>
    <row r="17" spans="1:3" x14ac:dyDescent="0.25">
      <c r="A17" t="s">
        <v>21</v>
      </c>
      <c r="B17" t="s">
        <v>22</v>
      </c>
      <c r="C17">
        <v>16</v>
      </c>
    </row>
    <row r="18" spans="1:3" x14ac:dyDescent="0.25">
      <c r="A18" t="s">
        <v>23</v>
      </c>
      <c r="B18" t="s">
        <v>5</v>
      </c>
      <c r="C18">
        <v>17</v>
      </c>
    </row>
    <row r="19" spans="1:3" x14ac:dyDescent="0.25">
      <c r="A19" t="s">
        <v>24</v>
      </c>
      <c r="B19" t="s">
        <v>22</v>
      </c>
      <c r="C19">
        <v>18</v>
      </c>
    </row>
    <row r="20" spans="1:3" x14ac:dyDescent="0.25">
      <c r="A20" t="s">
        <v>25</v>
      </c>
      <c r="B20" t="s">
        <v>26</v>
      </c>
      <c r="C20">
        <v>19</v>
      </c>
    </row>
    <row r="21" spans="1:3" x14ac:dyDescent="0.25">
      <c r="A21" t="s">
        <v>27</v>
      </c>
      <c r="B21" t="s">
        <v>5</v>
      </c>
      <c r="C21">
        <v>20</v>
      </c>
    </row>
    <row r="22" spans="1:3" x14ac:dyDescent="0.25">
      <c r="A22" t="s">
        <v>28</v>
      </c>
      <c r="B22" t="s">
        <v>22</v>
      </c>
      <c r="C22">
        <v>21</v>
      </c>
    </row>
    <row r="23" spans="1:3" x14ac:dyDescent="0.25">
      <c r="A23" t="s">
        <v>29</v>
      </c>
      <c r="B23" t="s">
        <v>12</v>
      </c>
      <c r="C23">
        <v>22</v>
      </c>
    </row>
    <row r="24" spans="1:3" x14ac:dyDescent="0.25">
      <c r="A24" t="s">
        <v>30</v>
      </c>
      <c r="B24" t="s">
        <v>22</v>
      </c>
      <c r="C24">
        <v>23</v>
      </c>
    </row>
    <row r="25" spans="1:3" x14ac:dyDescent="0.25">
      <c r="A25" t="s">
        <v>31</v>
      </c>
      <c r="B25" t="s">
        <v>5</v>
      </c>
      <c r="C25">
        <v>24</v>
      </c>
    </row>
    <row r="26" spans="1:3" x14ac:dyDescent="0.25">
      <c r="A26" t="s">
        <v>32</v>
      </c>
      <c r="B26" t="s">
        <v>5</v>
      </c>
      <c r="C26">
        <v>25</v>
      </c>
    </row>
    <row r="27" spans="1:3" x14ac:dyDescent="0.25">
      <c r="A27" t="s">
        <v>33</v>
      </c>
      <c r="B27" t="s">
        <v>22</v>
      </c>
      <c r="C27">
        <v>26</v>
      </c>
    </row>
    <row r="28" spans="1:3" x14ac:dyDescent="0.25">
      <c r="A28" t="s">
        <v>34</v>
      </c>
      <c r="B28" t="s">
        <v>22</v>
      </c>
      <c r="C28">
        <v>27</v>
      </c>
    </row>
    <row r="29" spans="1:3" x14ac:dyDescent="0.25">
      <c r="A29" t="s">
        <v>35</v>
      </c>
      <c r="B29" t="s">
        <v>26</v>
      </c>
      <c r="C29">
        <v>28</v>
      </c>
    </row>
    <row r="30" spans="1:3" x14ac:dyDescent="0.25">
      <c r="A30" t="s">
        <v>36</v>
      </c>
      <c r="B30" t="s">
        <v>3</v>
      </c>
      <c r="C30">
        <v>29</v>
      </c>
    </row>
    <row r="31" spans="1:3" x14ac:dyDescent="0.25">
      <c r="A31" t="s">
        <v>37</v>
      </c>
      <c r="B31" t="s">
        <v>5</v>
      </c>
      <c r="C31">
        <v>30</v>
      </c>
    </row>
    <row r="32" spans="1:3" x14ac:dyDescent="0.25">
      <c r="A32" t="s">
        <v>38</v>
      </c>
      <c r="B32" t="s">
        <v>22</v>
      </c>
      <c r="C32">
        <v>31</v>
      </c>
    </row>
    <row r="33" spans="1:3" x14ac:dyDescent="0.25">
      <c r="A33" t="s">
        <v>39</v>
      </c>
      <c r="B33" t="s">
        <v>20</v>
      </c>
      <c r="C33">
        <v>32</v>
      </c>
    </row>
    <row r="34" spans="1:3" x14ac:dyDescent="0.25">
      <c r="A34" t="s">
        <v>40</v>
      </c>
      <c r="B34" t="s">
        <v>22</v>
      </c>
      <c r="C34">
        <v>33</v>
      </c>
    </row>
    <row r="35" spans="1:3" x14ac:dyDescent="0.25">
      <c r="A35" t="s">
        <v>41</v>
      </c>
      <c r="B35" t="s">
        <v>26</v>
      </c>
      <c r="C35">
        <v>34</v>
      </c>
    </row>
    <row r="36" spans="1:3" x14ac:dyDescent="0.25">
      <c r="A36" t="s">
        <v>42</v>
      </c>
      <c r="B36" t="s">
        <v>5</v>
      </c>
      <c r="C36">
        <v>35</v>
      </c>
    </row>
    <row r="37" spans="1:3" x14ac:dyDescent="0.25">
      <c r="A37" t="s">
        <v>43</v>
      </c>
      <c r="B37" t="s">
        <v>5</v>
      </c>
      <c r="C37">
        <v>36</v>
      </c>
    </row>
    <row r="38" spans="1:3" x14ac:dyDescent="0.25">
      <c r="A38" t="s">
        <v>44</v>
      </c>
      <c r="B38" t="s">
        <v>20</v>
      </c>
      <c r="C38">
        <v>37</v>
      </c>
    </row>
    <row r="39" spans="1:3" x14ac:dyDescent="0.25">
      <c r="A39" t="s">
        <v>45</v>
      </c>
      <c r="B39" t="s">
        <v>12</v>
      </c>
      <c r="C39">
        <v>38</v>
      </c>
    </row>
    <row r="40" spans="1:3" x14ac:dyDescent="0.25">
      <c r="A40" t="s">
        <v>46</v>
      </c>
      <c r="B40" t="s">
        <v>3</v>
      </c>
      <c r="C40">
        <v>39</v>
      </c>
    </row>
    <row r="41" spans="1:3" x14ac:dyDescent="0.25">
      <c r="A41" t="s">
        <v>47</v>
      </c>
      <c r="B41" t="s">
        <v>5</v>
      </c>
      <c r="C41">
        <v>40</v>
      </c>
    </row>
    <row r="42" spans="1:3" x14ac:dyDescent="0.25">
      <c r="A42" t="s">
        <v>48</v>
      </c>
      <c r="B42" t="s">
        <v>5</v>
      </c>
      <c r="C42">
        <v>41</v>
      </c>
    </row>
    <row r="43" spans="1:3" x14ac:dyDescent="0.25">
      <c r="A43" t="s">
        <v>49</v>
      </c>
      <c r="B43" t="s">
        <v>12</v>
      </c>
      <c r="C43">
        <v>42</v>
      </c>
    </row>
    <row r="44" spans="1:3" x14ac:dyDescent="0.25">
      <c r="A44" t="s">
        <v>50</v>
      </c>
      <c r="B44" t="s">
        <v>22</v>
      </c>
      <c r="C44">
        <v>43</v>
      </c>
    </row>
    <row r="45" spans="1:3" x14ac:dyDescent="0.25">
      <c r="A45" t="s">
        <v>51</v>
      </c>
      <c r="B45" t="s">
        <v>26</v>
      </c>
      <c r="C45">
        <v>44</v>
      </c>
    </row>
    <row r="46" spans="1:3" x14ac:dyDescent="0.25">
      <c r="A46" t="s">
        <v>52</v>
      </c>
      <c r="B46" t="s">
        <v>5</v>
      </c>
      <c r="C46">
        <v>45</v>
      </c>
    </row>
    <row r="47" spans="1:3" x14ac:dyDescent="0.25">
      <c r="A47" t="s">
        <v>53</v>
      </c>
      <c r="B47" t="s">
        <v>22</v>
      </c>
      <c r="C47">
        <v>46</v>
      </c>
    </row>
    <row r="48" spans="1:3" x14ac:dyDescent="0.25">
      <c r="A48" t="s">
        <v>54</v>
      </c>
      <c r="B48" t="s">
        <v>20</v>
      </c>
      <c r="C48">
        <v>47</v>
      </c>
    </row>
    <row r="49" spans="1:3" x14ac:dyDescent="0.25">
      <c r="A49" t="s">
        <v>55</v>
      </c>
      <c r="B49" t="s">
        <v>12</v>
      </c>
      <c r="C49">
        <v>48</v>
      </c>
    </row>
    <row r="50" spans="1:3" x14ac:dyDescent="0.25">
      <c r="A50" t="s">
        <v>56</v>
      </c>
      <c r="B50" t="s">
        <v>22</v>
      </c>
      <c r="C50">
        <v>49</v>
      </c>
    </row>
    <row r="51" spans="1:3" x14ac:dyDescent="0.25">
      <c r="A51" t="s">
        <v>57</v>
      </c>
      <c r="B51" t="s">
        <v>3</v>
      </c>
      <c r="C51">
        <v>50</v>
      </c>
    </row>
    <row r="52" spans="1:3" x14ac:dyDescent="0.25">
      <c r="A52" t="s">
        <v>58</v>
      </c>
      <c r="B52" t="s">
        <v>5</v>
      </c>
      <c r="C52">
        <v>51</v>
      </c>
    </row>
    <row r="53" spans="1:3" x14ac:dyDescent="0.25">
      <c r="A53" t="s">
        <v>59</v>
      </c>
      <c r="B53" t="s">
        <v>22</v>
      </c>
      <c r="C53">
        <v>52</v>
      </c>
    </row>
    <row r="54" spans="1:3" x14ac:dyDescent="0.25">
      <c r="A54" t="s">
        <v>60</v>
      </c>
      <c r="B54" t="s">
        <v>26</v>
      </c>
      <c r="C54">
        <v>53</v>
      </c>
    </row>
    <row r="55" spans="1:3" x14ac:dyDescent="0.25">
      <c r="A55" t="s">
        <v>61</v>
      </c>
      <c r="B55" t="s">
        <v>5</v>
      </c>
      <c r="C55">
        <v>54</v>
      </c>
    </row>
    <row r="56" spans="1:3" x14ac:dyDescent="0.25">
      <c r="A56" t="s">
        <v>62</v>
      </c>
      <c r="B56" t="s">
        <v>5</v>
      </c>
      <c r="C56">
        <v>55</v>
      </c>
    </row>
    <row r="57" spans="1:3" x14ac:dyDescent="0.25">
      <c r="A57" t="s">
        <v>63</v>
      </c>
      <c r="B57" t="s">
        <v>20</v>
      </c>
      <c r="C57">
        <v>56</v>
      </c>
    </row>
    <row r="58" spans="1:3" x14ac:dyDescent="0.25">
      <c r="A58" t="s">
        <v>64</v>
      </c>
      <c r="B58" t="s">
        <v>22</v>
      </c>
      <c r="C58">
        <v>57</v>
      </c>
    </row>
    <row r="59" spans="1:3" x14ac:dyDescent="0.25">
      <c r="A59" t="s">
        <v>65</v>
      </c>
      <c r="B59" t="s">
        <v>3</v>
      </c>
      <c r="C59">
        <v>58</v>
      </c>
    </row>
    <row r="60" spans="1:3" x14ac:dyDescent="0.25">
      <c r="A60" t="s">
        <v>66</v>
      </c>
      <c r="B60" t="s">
        <v>20</v>
      </c>
      <c r="C60">
        <v>59</v>
      </c>
    </row>
    <row r="61" spans="1:3" x14ac:dyDescent="0.25">
      <c r="A61" t="s">
        <v>67</v>
      </c>
      <c r="B61" t="s">
        <v>12</v>
      </c>
      <c r="C61">
        <v>60</v>
      </c>
    </row>
    <row r="62" spans="1:3" x14ac:dyDescent="0.25">
      <c r="A62" t="s">
        <v>68</v>
      </c>
      <c r="B62" t="s">
        <v>3</v>
      </c>
      <c r="C62">
        <v>61</v>
      </c>
    </row>
    <row r="63" spans="1:3" x14ac:dyDescent="0.25">
      <c r="A63" t="s">
        <v>69</v>
      </c>
      <c r="B63" t="s">
        <v>5</v>
      </c>
      <c r="C63">
        <v>62</v>
      </c>
    </row>
    <row r="64" spans="1:3" x14ac:dyDescent="0.25">
      <c r="A64" t="s">
        <v>70</v>
      </c>
      <c r="B64" t="s">
        <v>20</v>
      </c>
      <c r="C64">
        <v>63</v>
      </c>
    </row>
    <row r="65" spans="1:3" x14ac:dyDescent="0.25">
      <c r="A65" t="s">
        <v>71</v>
      </c>
      <c r="B65" t="s">
        <v>12</v>
      </c>
      <c r="C65">
        <v>64</v>
      </c>
    </row>
    <row r="66" spans="1:3" x14ac:dyDescent="0.25">
      <c r="A66" t="s">
        <v>72</v>
      </c>
      <c r="B66" t="s">
        <v>22</v>
      </c>
      <c r="C66">
        <v>65</v>
      </c>
    </row>
    <row r="67" spans="1:3" x14ac:dyDescent="0.25">
      <c r="A67" t="s">
        <v>73</v>
      </c>
      <c r="B67" t="s">
        <v>20</v>
      </c>
      <c r="C67">
        <v>66</v>
      </c>
    </row>
    <row r="68" spans="1:3" x14ac:dyDescent="0.25">
      <c r="A68" t="s">
        <v>74</v>
      </c>
      <c r="B68" t="s">
        <v>22</v>
      </c>
      <c r="C68">
        <v>67</v>
      </c>
    </row>
    <row r="69" spans="1:3" x14ac:dyDescent="0.25">
      <c r="A69" t="s">
        <v>75</v>
      </c>
      <c r="B69" t="s">
        <v>26</v>
      </c>
      <c r="C69">
        <v>68</v>
      </c>
    </row>
    <row r="70" spans="1:3" x14ac:dyDescent="0.25">
      <c r="A70" t="s">
        <v>76</v>
      </c>
      <c r="B70" t="s">
        <v>5</v>
      </c>
      <c r="C70">
        <v>69</v>
      </c>
    </row>
    <row r="71" spans="1:3" x14ac:dyDescent="0.25">
      <c r="A71" t="s">
        <v>77</v>
      </c>
      <c r="B71" t="s">
        <v>5</v>
      </c>
      <c r="C71">
        <v>70</v>
      </c>
    </row>
    <row r="72" spans="1:3" x14ac:dyDescent="0.25">
      <c r="A72" t="s">
        <v>78</v>
      </c>
      <c r="B72" t="s">
        <v>20</v>
      </c>
      <c r="C72">
        <v>71</v>
      </c>
    </row>
    <row r="73" spans="1:3" x14ac:dyDescent="0.25">
      <c r="A73" t="s">
        <v>79</v>
      </c>
      <c r="B73" t="s">
        <v>22</v>
      </c>
      <c r="C73">
        <v>72</v>
      </c>
    </row>
    <row r="74" spans="1:3" x14ac:dyDescent="0.25">
      <c r="A74" t="s">
        <v>80</v>
      </c>
      <c r="B74" t="s">
        <v>5</v>
      </c>
      <c r="C74">
        <v>73</v>
      </c>
    </row>
    <row r="75" spans="1:3" x14ac:dyDescent="0.25">
      <c r="A75" t="s">
        <v>81</v>
      </c>
      <c r="B75" t="s">
        <v>5</v>
      </c>
      <c r="C75">
        <v>74</v>
      </c>
    </row>
    <row r="76" spans="1:3" x14ac:dyDescent="0.25">
      <c r="A76" t="s">
        <v>82</v>
      </c>
      <c r="B76" t="s">
        <v>20</v>
      </c>
      <c r="C76">
        <v>75</v>
      </c>
    </row>
    <row r="77" spans="1:3" x14ac:dyDescent="0.25">
      <c r="A77" t="s">
        <v>83</v>
      </c>
      <c r="B77" t="s">
        <v>22</v>
      </c>
      <c r="C77">
        <v>76</v>
      </c>
    </row>
    <row r="78" spans="1:3" x14ac:dyDescent="0.25">
      <c r="A78" t="s">
        <v>84</v>
      </c>
      <c r="B78" t="s">
        <v>26</v>
      </c>
      <c r="C78">
        <v>77</v>
      </c>
    </row>
    <row r="79" spans="1:3" x14ac:dyDescent="0.25">
      <c r="A79" t="s">
        <v>85</v>
      </c>
      <c r="B79" t="s">
        <v>3</v>
      </c>
      <c r="C79">
        <v>78</v>
      </c>
    </row>
    <row r="80" spans="1:3" x14ac:dyDescent="0.25">
      <c r="A80" t="s">
        <v>86</v>
      </c>
      <c r="B80" t="s">
        <v>22</v>
      </c>
      <c r="C80">
        <v>79</v>
      </c>
    </row>
    <row r="81" spans="1:3" x14ac:dyDescent="0.25">
      <c r="A81" t="s">
        <v>87</v>
      </c>
      <c r="B81" t="s">
        <v>5</v>
      </c>
      <c r="C81">
        <v>80</v>
      </c>
    </row>
    <row r="82" spans="1:3" x14ac:dyDescent="0.25">
      <c r="A82" t="s">
        <v>88</v>
      </c>
      <c r="B82" t="s">
        <v>3</v>
      </c>
      <c r="C82">
        <v>81</v>
      </c>
    </row>
    <row r="83" spans="1:3" x14ac:dyDescent="0.25">
      <c r="A83" t="s">
        <v>89</v>
      </c>
      <c r="B83" t="s">
        <v>22</v>
      </c>
      <c r="C83">
        <v>82</v>
      </c>
    </row>
    <row r="84" spans="1:3" x14ac:dyDescent="0.25">
      <c r="A84" t="s">
        <v>90</v>
      </c>
      <c r="B84" t="s">
        <v>3</v>
      </c>
      <c r="C84">
        <v>83</v>
      </c>
    </row>
    <row r="85" spans="1:3" x14ac:dyDescent="0.25">
      <c r="A85" t="s">
        <v>91</v>
      </c>
      <c r="B85" t="s">
        <v>26</v>
      </c>
      <c r="C85">
        <v>84</v>
      </c>
    </row>
    <row r="86" spans="1:3" x14ac:dyDescent="0.25">
      <c r="A86" t="s">
        <v>92</v>
      </c>
      <c r="B86" t="s">
        <v>12</v>
      </c>
      <c r="C86">
        <v>85</v>
      </c>
    </row>
    <row r="87" spans="1:3" x14ac:dyDescent="0.25">
      <c r="A87" t="s">
        <v>93</v>
      </c>
      <c r="B87" t="s">
        <v>5</v>
      </c>
      <c r="C87">
        <v>86</v>
      </c>
    </row>
    <row r="88" spans="1:3" x14ac:dyDescent="0.25">
      <c r="A88" t="s">
        <v>94</v>
      </c>
      <c r="B88" t="s">
        <v>5</v>
      </c>
      <c r="C88">
        <v>87</v>
      </c>
    </row>
    <row r="89" spans="1:3" x14ac:dyDescent="0.25">
      <c r="A89" t="s">
        <v>95</v>
      </c>
      <c r="B89" t="s">
        <v>22</v>
      </c>
      <c r="C89">
        <v>88</v>
      </c>
    </row>
    <row r="90" spans="1:3" x14ac:dyDescent="0.25">
      <c r="A90" t="s">
        <v>96</v>
      </c>
      <c r="B90" t="s">
        <v>5</v>
      </c>
      <c r="C90">
        <v>89</v>
      </c>
    </row>
    <row r="91" spans="1:3" x14ac:dyDescent="0.25">
      <c r="A91" t="s">
        <v>97</v>
      </c>
      <c r="B91" t="s">
        <v>26</v>
      </c>
      <c r="C91">
        <v>90</v>
      </c>
    </row>
    <row r="92" spans="1:3" x14ac:dyDescent="0.25">
      <c r="A92" t="s">
        <v>98</v>
      </c>
      <c r="B92" t="s">
        <v>20</v>
      </c>
      <c r="C92">
        <v>91</v>
      </c>
    </row>
    <row r="93" spans="1:3" x14ac:dyDescent="0.25">
      <c r="A93" t="s">
        <v>99</v>
      </c>
      <c r="B93" t="s">
        <v>5</v>
      </c>
      <c r="C93">
        <v>92</v>
      </c>
    </row>
    <row r="94" spans="1:3" x14ac:dyDescent="0.25">
      <c r="A94" t="s">
        <v>100</v>
      </c>
      <c r="B94" t="s">
        <v>26</v>
      </c>
      <c r="C94">
        <v>93</v>
      </c>
    </row>
    <row r="95" spans="1:3" x14ac:dyDescent="0.25">
      <c r="A95" t="s">
        <v>101</v>
      </c>
      <c r="B95" t="s">
        <v>12</v>
      </c>
      <c r="C95">
        <v>94</v>
      </c>
    </row>
    <row r="96" spans="1:3" x14ac:dyDescent="0.25">
      <c r="A96" t="s">
        <v>102</v>
      </c>
      <c r="B96" t="s">
        <v>5</v>
      </c>
      <c r="C96">
        <v>95</v>
      </c>
    </row>
    <row r="97" spans="1:3" x14ac:dyDescent="0.25">
      <c r="A97" t="s">
        <v>103</v>
      </c>
      <c r="B97" t="s">
        <v>12</v>
      </c>
      <c r="C97">
        <v>96</v>
      </c>
    </row>
    <row r="98" spans="1:3" x14ac:dyDescent="0.25">
      <c r="A98" t="s">
        <v>104</v>
      </c>
      <c r="B98" t="s">
        <v>5</v>
      </c>
      <c r="C98">
        <v>97</v>
      </c>
    </row>
    <row r="99" spans="1:3" x14ac:dyDescent="0.25">
      <c r="A99" t="s">
        <v>105</v>
      </c>
      <c r="B99" t="s">
        <v>22</v>
      </c>
      <c r="C99">
        <v>98</v>
      </c>
    </row>
    <row r="100" spans="1:3" x14ac:dyDescent="0.25">
      <c r="A100" t="s">
        <v>106</v>
      </c>
      <c r="B100" t="s">
        <v>22</v>
      </c>
      <c r="C100">
        <v>99</v>
      </c>
    </row>
    <row r="101" spans="1:3" x14ac:dyDescent="0.25">
      <c r="A101" t="s">
        <v>107</v>
      </c>
      <c r="B101" t="s">
        <v>5</v>
      </c>
      <c r="C101">
        <v>100</v>
      </c>
    </row>
    <row r="102" spans="1:3" x14ac:dyDescent="0.25">
      <c r="A102" t="s">
        <v>108</v>
      </c>
      <c r="B102" t="s">
        <v>5</v>
      </c>
      <c r="C102">
        <v>101</v>
      </c>
    </row>
    <row r="103" spans="1:3" x14ac:dyDescent="0.25">
      <c r="A103" t="s">
        <v>109</v>
      </c>
      <c r="B103" t="s">
        <v>3</v>
      </c>
      <c r="C103">
        <v>102</v>
      </c>
    </row>
    <row r="104" spans="1:3" x14ac:dyDescent="0.25">
      <c r="A104" t="s">
        <v>110</v>
      </c>
      <c r="B104" t="s">
        <v>22</v>
      </c>
      <c r="C104">
        <v>103</v>
      </c>
    </row>
    <row r="105" spans="1:3" x14ac:dyDescent="0.25">
      <c r="A105" t="s">
        <v>111</v>
      </c>
      <c r="B105" t="s">
        <v>26</v>
      </c>
      <c r="C105">
        <v>104</v>
      </c>
    </row>
    <row r="106" spans="1:3" x14ac:dyDescent="0.25">
      <c r="A106" t="s">
        <v>112</v>
      </c>
      <c r="B106" t="s">
        <v>26</v>
      </c>
      <c r="C106">
        <v>105</v>
      </c>
    </row>
    <row r="107" spans="1:3" x14ac:dyDescent="0.25">
      <c r="A107" t="s">
        <v>113</v>
      </c>
      <c r="B107" t="s">
        <v>22</v>
      </c>
      <c r="C107">
        <v>106</v>
      </c>
    </row>
    <row r="108" spans="1:3" x14ac:dyDescent="0.25">
      <c r="A108" t="s">
        <v>114</v>
      </c>
      <c r="B108" t="s">
        <v>3</v>
      </c>
      <c r="C108">
        <v>107</v>
      </c>
    </row>
    <row r="109" spans="1:3" x14ac:dyDescent="0.25">
      <c r="A109" t="s">
        <v>115</v>
      </c>
      <c r="B109" t="s">
        <v>5</v>
      </c>
      <c r="C109">
        <v>108</v>
      </c>
    </row>
    <row r="110" spans="1:3" x14ac:dyDescent="0.25">
      <c r="A110" t="s">
        <v>116</v>
      </c>
      <c r="B110" t="s">
        <v>26</v>
      </c>
      <c r="C110">
        <v>109</v>
      </c>
    </row>
    <row r="111" spans="1:3" x14ac:dyDescent="0.25">
      <c r="A111" t="s">
        <v>117</v>
      </c>
      <c r="B111" t="s">
        <v>3</v>
      </c>
      <c r="C111">
        <v>110</v>
      </c>
    </row>
    <row r="112" spans="1:3" x14ac:dyDescent="0.25">
      <c r="A112" t="s">
        <v>118</v>
      </c>
      <c r="B112" t="s">
        <v>22</v>
      </c>
      <c r="C112">
        <v>111</v>
      </c>
    </row>
    <row r="113" spans="1:3" x14ac:dyDescent="0.25">
      <c r="A113" t="s">
        <v>119</v>
      </c>
      <c r="B113" t="s">
        <v>22</v>
      </c>
      <c r="C113">
        <v>112</v>
      </c>
    </row>
    <row r="114" spans="1:3" x14ac:dyDescent="0.25">
      <c r="A114" t="s">
        <v>120</v>
      </c>
      <c r="B114" t="s">
        <v>26</v>
      </c>
      <c r="C114">
        <v>113</v>
      </c>
    </row>
    <row r="115" spans="1:3" x14ac:dyDescent="0.25">
      <c r="A115" t="s">
        <v>121</v>
      </c>
      <c r="B115" t="s">
        <v>5</v>
      </c>
      <c r="C115">
        <v>114</v>
      </c>
    </row>
    <row r="116" spans="1:3" x14ac:dyDescent="0.25">
      <c r="A116" t="s">
        <v>122</v>
      </c>
      <c r="B116" t="s">
        <v>22</v>
      </c>
      <c r="C116">
        <v>115</v>
      </c>
    </row>
    <row r="117" spans="1:3" x14ac:dyDescent="0.25">
      <c r="A117" t="s">
        <v>123</v>
      </c>
      <c r="B117" t="s">
        <v>5</v>
      </c>
      <c r="C117">
        <v>116</v>
      </c>
    </row>
    <row r="118" spans="1:3" x14ac:dyDescent="0.25">
      <c r="A118" t="s">
        <v>124</v>
      </c>
      <c r="B118" t="s">
        <v>5</v>
      </c>
      <c r="C118">
        <v>117</v>
      </c>
    </row>
    <row r="119" spans="1:3" x14ac:dyDescent="0.25">
      <c r="A119" t="s">
        <v>125</v>
      </c>
      <c r="B119" t="s">
        <v>12</v>
      </c>
      <c r="C119">
        <v>118</v>
      </c>
    </row>
    <row r="120" spans="1:3" x14ac:dyDescent="0.25">
      <c r="A120" t="s">
        <v>126</v>
      </c>
      <c r="B120" t="s">
        <v>5</v>
      </c>
      <c r="C120">
        <v>119</v>
      </c>
    </row>
    <row r="121" spans="1:3" x14ac:dyDescent="0.25">
      <c r="A121" t="s">
        <v>127</v>
      </c>
      <c r="B121" t="s">
        <v>22</v>
      </c>
      <c r="C121">
        <v>120</v>
      </c>
    </row>
    <row r="122" spans="1:3" x14ac:dyDescent="0.25">
      <c r="A122" t="s">
        <v>128</v>
      </c>
      <c r="B122" t="s">
        <v>20</v>
      </c>
      <c r="C122">
        <v>121</v>
      </c>
    </row>
    <row r="123" spans="1:3" x14ac:dyDescent="0.25">
      <c r="A123" t="s">
        <v>129</v>
      </c>
      <c r="B123" t="s">
        <v>20</v>
      </c>
      <c r="C123">
        <v>122</v>
      </c>
    </row>
    <row r="124" spans="1:3" x14ac:dyDescent="0.25">
      <c r="A124" t="s">
        <v>130</v>
      </c>
      <c r="B124" t="s">
        <v>26</v>
      </c>
      <c r="C124">
        <v>123</v>
      </c>
    </row>
    <row r="125" spans="1:3" x14ac:dyDescent="0.25">
      <c r="A125" t="s">
        <v>131</v>
      </c>
      <c r="B125" t="s">
        <v>5</v>
      </c>
      <c r="C125">
        <v>124</v>
      </c>
    </row>
    <row r="126" spans="1:3" x14ac:dyDescent="0.25">
      <c r="A126" t="s">
        <v>132</v>
      </c>
      <c r="B126" t="s">
        <v>20</v>
      </c>
      <c r="C126">
        <v>125</v>
      </c>
    </row>
    <row r="127" spans="1:3" x14ac:dyDescent="0.25">
      <c r="A127" t="s">
        <v>133</v>
      </c>
      <c r="B127" t="s">
        <v>5</v>
      </c>
      <c r="C127">
        <v>126</v>
      </c>
    </row>
    <row r="128" spans="1:3" x14ac:dyDescent="0.25">
      <c r="A128" t="s">
        <v>134</v>
      </c>
      <c r="B128" t="s">
        <v>5</v>
      </c>
      <c r="C128">
        <v>127</v>
      </c>
    </row>
    <row r="129" spans="1:3" x14ac:dyDescent="0.25">
      <c r="A129" t="s">
        <v>135</v>
      </c>
      <c r="B129" t="s">
        <v>5</v>
      </c>
      <c r="C129">
        <v>128</v>
      </c>
    </row>
    <row r="130" spans="1:3" x14ac:dyDescent="0.25">
      <c r="A130" t="s">
        <v>136</v>
      </c>
      <c r="B130" t="s">
        <v>22</v>
      </c>
      <c r="C130">
        <v>129</v>
      </c>
    </row>
    <row r="131" spans="1:3" x14ac:dyDescent="0.25">
      <c r="A131" t="s">
        <v>137</v>
      </c>
      <c r="B131" t="s">
        <v>20</v>
      </c>
      <c r="C131">
        <v>130</v>
      </c>
    </row>
    <row r="132" spans="1:3" x14ac:dyDescent="0.25">
      <c r="A132" t="s">
        <v>138</v>
      </c>
      <c r="B132" t="s">
        <v>12</v>
      </c>
      <c r="C132">
        <v>131</v>
      </c>
    </row>
    <row r="133" spans="1:3" x14ac:dyDescent="0.25">
      <c r="A133" t="s">
        <v>139</v>
      </c>
      <c r="B133" t="s">
        <v>3</v>
      </c>
      <c r="C133">
        <v>132</v>
      </c>
    </row>
    <row r="134" spans="1:3" x14ac:dyDescent="0.25">
      <c r="A134" t="s">
        <v>140</v>
      </c>
      <c r="B134" t="s">
        <v>3</v>
      </c>
      <c r="C134">
        <v>133</v>
      </c>
    </row>
    <row r="135" spans="1:3" x14ac:dyDescent="0.25">
      <c r="A135" t="s">
        <v>141</v>
      </c>
      <c r="B135" t="s">
        <v>5</v>
      </c>
      <c r="C135">
        <v>134</v>
      </c>
    </row>
    <row r="136" spans="1:3" x14ac:dyDescent="0.25">
      <c r="A136" t="s">
        <v>142</v>
      </c>
      <c r="B136" t="s">
        <v>3</v>
      </c>
      <c r="C136">
        <v>135</v>
      </c>
    </row>
    <row r="137" spans="1:3" x14ac:dyDescent="0.25">
      <c r="A137" t="s">
        <v>143</v>
      </c>
      <c r="B137" t="s">
        <v>20</v>
      </c>
      <c r="C137">
        <v>136</v>
      </c>
    </row>
    <row r="138" spans="1:3" x14ac:dyDescent="0.25">
      <c r="A138" t="s">
        <v>144</v>
      </c>
      <c r="B138" t="s">
        <v>26</v>
      </c>
      <c r="C138">
        <v>137</v>
      </c>
    </row>
    <row r="139" spans="1:3" x14ac:dyDescent="0.25">
      <c r="A139" t="s">
        <v>145</v>
      </c>
      <c r="B139" t="s">
        <v>5</v>
      </c>
      <c r="C139">
        <v>138</v>
      </c>
    </row>
    <row r="140" spans="1:3" x14ac:dyDescent="0.25">
      <c r="A140" t="s">
        <v>146</v>
      </c>
      <c r="B140" t="s">
        <v>12</v>
      </c>
      <c r="C140">
        <v>139</v>
      </c>
    </row>
    <row r="141" spans="1:3" x14ac:dyDescent="0.25">
      <c r="A141" t="s">
        <v>147</v>
      </c>
      <c r="B141" t="s">
        <v>5</v>
      </c>
      <c r="C141">
        <v>140</v>
      </c>
    </row>
    <row r="142" spans="1:3" x14ac:dyDescent="0.25">
      <c r="A142" t="s">
        <v>148</v>
      </c>
      <c r="B142" t="s">
        <v>5</v>
      </c>
      <c r="C142">
        <v>141</v>
      </c>
    </row>
    <row r="143" spans="1:3" x14ac:dyDescent="0.25">
      <c r="A143" t="s">
        <v>149</v>
      </c>
      <c r="B143" t="s">
        <v>22</v>
      </c>
      <c r="C143">
        <v>142</v>
      </c>
    </row>
    <row r="144" spans="1:3" x14ac:dyDescent="0.25">
      <c r="A144" t="s">
        <v>150</v>
      </c>
      <c r="B144" t="s">
        <v>20</v>
      </c>
      <c r="C144">
        <v>143</v>
      </c>
    </row>
    <row r="145" spans="1:3" x14ac:dyDescent="0.25">
      <c r="A145" t="s">
        <v>151</v>
      </c>
      <c r="B145" t="s">
        <v>5</v>
      </c>
      <c r="C145">
        <v>144</v>
      </c>
    </row>
    <row r="146" spans="1:3" x14ac:dyDescent="0.25">
      <c r="A146" t="s">
        <v>152</v>
      </c>
      <c r="B146" t="s">
        <v>22</v>
      </c>
      <c r="C146">
        <v>145</v>
      </c>
    </row>
    <row r="147" spans="1:3" x14ac:dyDescent="0.25">
      <c r="A147" t="s">
        <v>153</v>
      </c>
      <c r="B147" t="s">
        <v>12</v>
      </c>
      <c r="C147">
        <v>146</v>
      </c>
    </row>
    <row r="148" spans="1:3" x14ac:dyDescent="0.25">
      <c r="A148" t="s">
        <v>154</v>
      </c>
      <c r="B148" t="s">
        <v>5</v>
      </c>
      <c r="C148">
        <v>147</v>
      </c>
    </row>
    <row r="149" spans="1:3" x14ac:dyDescent="0.25">
      <c r="A149" t="s">
        <v>155</v>
      </c>
      <c r="B149" t="s">
        <v>22</v>
      </c>
      <c r="C149">
        <v>148</v>
      </c>
    </row>
    <row r="150" spans="1:3" x14ac:dyDescent="0.25">
      <c r="A150" t="s">
        <v>156</v>
      </c>
      <c r="B150" t="s">
        <v>26</v>
      </c>
      <c r="C150">
        <v>149</v>
      </c>
    </row>
    <row r="151" spans="1:3" x14ac:dyDescent="0.25">
      <c r="A151" t="s">
        <v>157</v>
      </c>
      <c r="B151" t="s">
        <v>22</v>
      </c>
      <c r="C151">
        <v>150</v>
      </c>
    </row>
  </sheetData>
  <autoFilter ref="A1:C151" xr:uid="{96AD75D7-CF39-473F-858F-B4268518AB15}"/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2A2EA-D7B6-4BCD-B6AF-D558261445B3}">
  <dimension ref="B3:C9"/>
  <sheetViews>
    <sheetView workbookViewId="0">
      <selection activeCell="B4" sqref="B4:B9"/>
    </sheetView>
  </sheetViews>
  <sheetFormatPr defaultRowHeight="15" x14ac:dyDescent="0.25"/>
  <cols>
    <col min="2" max="2" width="11.7109375" bestFit="1" customWidth="1"/>
    <col min="3" max="3" width="17.28515625" bestFit="1" customWidth="1"/>
  </cols>
  <sheetData>
    <row r="3" spans="2:3" x14ac:dyDescent="0.25">
      <c r="B3" s="1" t="s">
        <v>1</v>
      </c>
      <c r="C3" s="1" t="s">
        <v>158</v>
      </c>
    </row>
    <row r="4" spans="2:3" x14ac:dyDescent="0.25">
      <c r="B4" t="s">
        <v>20</v>
      </c>
      <c r="C4" t="s">
        <v>173</v>
      </c>
    </row>
    <row r="5" spans="2:3" x14ac:dyDescent="0.25">
      <c r="B5" t="s">
        <v>12</v>
      </c>
      <c r="C5" t="s">
        <v>159</v>
      </c>
    </row>
    <row r="6" spans="2:3" x14ac:dyDescent="0.25">
      <c r="B6" t="s">
        <v>22</v>
      </c>
      <c r="C6" t="s">
        <v>174</v>
      </c>
    </row>
    <row r="7" spans="2:3" x14ac:dyDescent="0.25">
      <c r="B7" t="s">
        <v>26</v>
      </c>
      <c r="C7" t="s">
        <v>175</v>
      </c>
    </row>
    <row r="8" spans="2:3" x14ac:dyDescent="0.25">
      <c r="B8" t="s">
        <v>3</v>
      </c>
      <c r="C8" t="s">
        <v>176</v>
      </c>
    </row>
    <row r="9" spans="2:3" x14ac:dyDescent="0.25">
      <c r="B9" t="s">
        <v>5</v>
      </c>
      <c r="C9" t="s">
        <v>172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0EC039-F7E7-4DEF-AE9A-E6C4DE324E37}">
  <dimension ref="B2:R158"/>
  <sheetViews>
    <sheetView workbookViewId="0">
      <selection activeCell="M22" sqref="M22"/>
    </sheetView>
  </sheetViews>
  <sheetFormatPr defaultRowHeight="15" x14ac:dyDescent="0.25"/>
  <cols>
    <col min="2" max="2" width="10.7109375" bestFit="1" customWidth="1"/>
    <col min="3" max="3" width="29.42578125" bestFit="1" customWidth="1"/>
    <col min="4" max="4" width="14.85546875" bestFit="1" customWidth="1"/>
    <col min="14" max="14" width="31.140625" bestFit="1" customWidth="1"/>
    <col min="15" max="15" width="10.42578125" bestFit="1" customWidth="1"/>
    <col min="17" max="17" width="13.5703125" customWidth="1"/>
    <col min="18" max="18" width="10.42578125" bestFit="1" customWidth="1"/>
  </cols>
  <sheetData>
    <row r="2" spans="2:16" x14ac:dyDescent="0.25">
      <c r="B2" s="1" t="s">
        <v>160</v>
      </c>
      <c r="C2" s="1" t="s">
        <v>161</v>
      </c>
      <c r="D2" s="1" t="s">
        <v>162</v>
      </c>
      <c r="N2" s="5"/>
      <c r="O2" s="6" t="s">
        <v>197</v>
      </c>
      <c r="P2" s="6" t="s">
        <v>196</v>
      </c>
    </row>
    <row r="3" spans="2:16" x14ac:dyDescent="0.25">
      <c r="B3" t="s">
        <v>19</v>
      </c>
      <c r="C3" t="s">
        <v>163</v>
      </c>
      <c r="D3" t="s">
        <v>164</v>
      </c>
      <c r="F3" t="s">
        <v>187</v>
      </c>
      <c r="N3" s="7" t="s">
        <v>190</v>
      </c>
      <c r="O3" s="5">
        <f>COUNTIF($C$3:$C$158, "nedovoláno")</f>
        <v>69</v>
      </c>
      <c r="P3" s="8">
        <f>O3*$O$9</f>
        <v>2415</v>
      </c>
    </row>
    <row r="4" spans="2:16" x14ac:dyDescent="0.25">
      <c r="B4" t="s">
        <v>66</v>
      </c>
      <c r="C4" t="s">
        <v>163</v>
      </c>
      <c r="D4" t="s">
        <v>165</v>
      </c>
      <c r="N4" s="7" t="s">
        <v>193</v>
      </c>
      <c r="O4" s="5">
        <f>COUNTIF($C$3:$C$158, "přechod k jinému poskytovateli")</f>
        <v>27</v>
      </c>
      <c r="P4" s="8">
        <f>O4*$O$8</f>
        <v>2565</v>
      </c>
    </row>
    <row r="5" spans="2:16" x14ac:dyDescent="0.25">
      <c r="B5" t="s">
        <v>67</v>
      </c>
      <c r="C5" t="s">
        <v>163</v>
      </c>
      <c r="D5" t="s">
        <v>165</v>
      </c>
      <c r="N5" s="7" t="s">
        <v>194</v>
      </c>
      <c r="O5" s="5">
        <f>COUNTIF($C$3:$C$158, "rozmýšlí si")</f>
        <v>11</v>
      </c>
      <c r="P5" s="8">
        <f>O5*$O$8</f>
        <v>1045</v>
      </c>
    </row>
    <row r="6" spans="2:16" x14ac:dyDescent="0.25">
      <c r="B6" t="s">
        <v>68</v>
      </c>
      <c r="C6" t="s">
        <v>163</v>
      </c>
      <c r="D6" t="s">
        <v>166</v>
      </c>
      <c r="N6" s="7" t="s">
        <v>195</v>
      </c>
      <c r="O6" s="5">
        <f>COUNTIF($C$3:$C$158, "zůstává s premií")</f>
        <v>49</v>
      </c>
      <c r="P6" s="8">
        <f>O6*$O$8</f>
        <v>4655</v>
      </c>
    </row>
    <row r="7" spans="2:16" x14ac:dyDescent="0.25">
      <c r="B7" t="s">
        <v>69</v>
      </c>
      <c r="C7" t="s">
        <v>163</v>
      </c>
      <c r="D7" t="s">
        <v>166</v>
      </c>
      <c r="N7" s="2"/>
    </row>
    <row r="8" spans="2:16" x14ac:dyDescent="0.25">
      <c r="B8" t="s">
        <v>72</v>
      </c>
      <c r="C8" t="s">
        <v>163</v>
      </c>
      <c r="D8" t="s">
        <v>165</v>
      </c>
      <c r="N8" s="4" t="s">
        <v>191</v>
      </c>
      <c r="O8" s="3">
        <v>95</v>
      </c>
    </row>
    <row r="9" spans="2:16" x14ac:dyDescent="0.25">
      <c r="B9" t="s">
        <v>7</v>
      </c>
      <c r="C9" t="s">
        <v>163</v>
      </c>
      <c r="D9" t="s">
        <v>165</v>
      </c>
      <c r="N9" s="4" t="s">
        <v>192</v>
      </c>
      <c r="O9" s="3">
        <v>35</v>
      </c>
    </row>
    <row r="10" spans="2:16" x14ac:dyDescent="0.25">
      <c r="B10" t="s">
        <v>8</v>
      </c>
      <c r="C10" t="s">
        <v>163</v>
      </c>
      <c r="D10" t="s">
        <v>165</v>
      </c>
    </row>
    <row r="11" spans="2:16" x14ac:dyDescent="0.25">
      <c r="B11" t="s">
        <v>9</v>
      </c>
      <c r="C11" t="s">
        <v>163</v>
      </c>
      <c r="D11" t="s">
        <v>165</v>
      </c>
      <c r="N11" s="9" t="s">
        <v>198</v>
      </c>
      <c r="O11" s="3">
        <f>SUM(P3:P6)</f>
        <v>10680</v>
      </c>
    </row>
    <row r="12" spans="2:16" x14ac:dyDescent="0.25">
      <c r="B12" t="s">
        <v>122</v>
      </c>
      <c r="C12" t="s">
        <v>163</v>
      </c>
      <c r="D12" t="s">
        <v>165</v>
      </c>
      <c r="N12" s="9"/>
      <c r="O12" s="3"/>
    </row>
    <row r="13" spans="2:16" x14ac:dyDescent="0.25">
      <c r="B13" t="s">
        <v>73</v>
      </c>
      <c r="C13" t="s">
        <v>163</v>
      </c>
      <c r="D13" t="s">
        <v>164</v>
      </c>
    </row>
    <row r="14" spans="2:16" x14ac:dyDescent="0.25">
      <c r="B14" t="s">
        <v>21</v>
      </c>
      <c r="C14" t="s">
        <v>163</v>
      </c>
      <c r="D14" t="s">
        <v>167</v>
      </c>
    </row>
    <row r="15" spans="2:16" x14ac:dyDescent="0.25">
      <c r="B15" t="s">
        <v>74</v>
      </c>
      <c r="C15" t="s">
        <v>163</v>
      </c>
      <c r="D15" t="s">
        <v>165</v>
      </c>
      <c r="N15" t="s">
        <v>199</v>
      </c>
    </row>
    <row r="16" spans="2:16" x14ac:dyDescent="0.25">
      <c r="B16" t="s">
        <v>75</v>
      </c>
      <c r="C16" t="s">
        <v>163</v>
      </c>
      <c r="D16" t="s">
        <v>165</v>
      </c>
      <c r="N16" t="s">
        <v>200</v>
      </c>
    </row>
    <row r="17" spans="2:18" x14ac:dyDescent="0.25">
      <c r="B17" t="s">
        <v>76</v>
      </c>
      <c r="C17" t="s">
        <v>163</v>
      </c>
      <c r="D17" t="s">
        <v>165</v>
      </c>
      <c r="N17" t="s">
        <v>201</v>
      </c>
    </row>
    <row r="18" spans="2:18" x14ac:dyDescent="0.25">
      <c r="B18" t="s">
        <v>10</v>
      </c>
      <c r="C18" t="s">
        <v>163</v>
      </c>
      <c r="D18" t="s">
        <v>165</v>
      </c>
    </row>
    <row r="19" spans="2:18" x14ac:dyDescent="0.25">
      <c r="B19" t="s">
        <v>77</v>
      </c>
      <c r="C19" t="s">
        <v>163</v>
      </c>
      <c r="D19" t="s">
        <v>165</v>
      </c>
      <c r="N19" t="s">
        <v>202</v>
      </c>
      <c r="R19" s="3">
        <f>18*200</f>
        <v>3600</v>
      </c>
    </row>
    <row r="20" spans="2:18" x14ac:dyDescent="0.25">
      <c r="B20" t="s">
        <v>78</v>
      </c>
      <c r="C20" t="s">
        <v>163</v>
      </c>
      <c r="D20" t="s">
        <v>165</v>
      </c>
      <c r="N20" t="s">
        <v>203</v>
      </c>
      <c r="R20" s="3">
        <f>6*350</f>
        <v>2100</v>
      </c>
    </row>
    <row r="21" spans="2:18" x14ac:dyDescent="0.25">
      <c r="B21" t="s">
        <v>11</v>
      </c>
      <c r="C21" t="s">
        <v>163</v>
      </c>
      <c r="D21" t="s">
        <v>167</v>
      </c>
      <c r="N21" t="s">
        <v>204</v>
      </c>
      <c r="R21" s="3">
        <f>R19-R20</f>
        <v>1500</v>
      </c>
    </row>
    <row r="22" spans="2:18" x14ac:dyDescent="0.25">
      <c r="B22" t="s">
        <v>79</v>
      </c>
      <c r="C22" t="s">
        <v>163</v>
      </c>
      <c r="D22" t="s">
        <v>165</v>
      </c>
      <c r="N22" t="s">
        <v>205</v>
      </c>
      <c r="R22" s="3">
        <f>49*R21</f>
        <v>73500</v>
      </c>
    </row>
    <row r="23" spans="2:18" x14ac:dyDescent="0.25">
      <c r="B23" t="s">
        <v>80</v>
      </c>
      <c r="C23" t="s">
        <v>163</v>
      </c>
      <c r="D23" t="s">
        <v>165</v>
      </c>
      <c r="N23" s="10" t="s">
        <v>206</v>
      </c>
      <c r="R23" s="3">
        <f>R22-O11</f>
        <v>62820</v>
      </c>
    </row>
    <row r="24" spans="2:18" x14ac:dyDescent="0.25">
      <c r="B24" t="s">
        <v>81</v>
      </c>
      <c r="C24" t="s">
        <v>163</v>
      </c>
      <c r="D24" t="s">
        <v>165</v>
      </c>
      <c r="N24" t="s">
        <v>207</v>
      </c>
      <c r="R24" s="11">
        <f>R23 / O11</f>
        <v>5.882022471910112</v>
      </c>
    </row>
    <row r="25" spans="2:18" x14ac:dyDescent="0.25">
      <c r="B25" t="s">
        <v>82</v>
      </c>
      <c r="C25" t="s">
        <v>163</v>
      </c>
      <c r="D25" t="s">
        <v>167</v>
      </c>
    </row>
    <row r="26" spans="2:18" x14ac:dyDescent="0.25">
      <c r="B26" t="s">
        <v>83</v>
      </c>
      <c r="C26" t="s">
        <v>163</v>
      </c>
      <c r="D26" t="s">
        <v>166</v>
      </c>
    </row>
    <row r="27" spans="2:18" x14ac:dyDescent="0.25">
      <c r="B27" t="s">
        <v>84</v>
      </c>
      <c r="C27" t="s">
        <v>163</v>
      </c>
      <c r="D27" t="s">
        <v>165</v>
      </c>
      <c r="N27">
        <f>(27)*200</f>
        <v>5400</v>
      </c>
    </row>
    <row r="28" spans="2:18" x14ac:dyDescent="0.25">
      <c r="B28" t="s">
        <v>13</v>
      </c>
      <c r="C28" t="s">
        <v>163</v>
      </c>
      <c r="D28" t="s">
        <v>165</v>
      </c>
      <c r="N28">
        <f>11*200</f>
        <v>2200</v>
      </c>
    </row>
    <row r="29" spans="2:18" x14ac:dyDescent="0.25">
      <c r="B29" t="s">
        <v>23</v>
      </c>
      <c r="C29" t="s">
        <v>163</v>
      </c>
      <c r="D29" t="s">
        <v>165</v>
      </c>
      <c r="N29">
        <f>69*200</f>
        <v>13800</v>
      </c>
    </row>
    <row r="30" spans="2:18" x14ac:dyDescent="0.25">
      <c r="B30" t="s">
        <v>17</v>
      </c>
      <c r="C30" t="s">
        <v>163</v>
      </c>
      <c r="D30" t="s">
        <v>165</v>
      </c>
    </row>
    <row r="31" spans="2:18" x14ac:dyDescent="0.25">
      <c r="B31" t="s">
        <v>16</v>
      </c>
      <c r="C31" t="s">
        <v>163</v>
      </c>
      <c r="D31" t="s">
        <v>165</v>
      </c>
    </row>
    <row r="32" spans="2:18" x14ac:dyDescent="0.25">
      <c r="B32" t="s">
        <v>24</v>
      </c>
      <c r="C32" t="s">
        <v>163</v>
      </c>
      <c r="D32" t="s">
        <v>165</v>
      </c>
    </row>
    <row r="33" spans="2:4" x14ac:dyDescent="0.25">
      <c r="B33" t="s">
        <v>25</v>
      </c>
      <c r="C33" t="s">
        <v>163</v>
      </c>
      <c r="D33" t="s">
        <v>164</v>
      </c>
    </row>
    <row r="34" spans="2:4" x14ac:dyDescent="0.25">
      <c r="B34" t="s">
        <v>27</v>
      </c>
      <c r="C34" t="s">
        <v>163</v>
      </c>
      <c r="D34" t="s">
        <v>165</v>
      </c>
    </row>
    <row r="35" spans="2:4" x14ac:dyDescent="0.25">
      <c r="B35" t="s">
        <v>29</v>
      </c>
      <c r="C35" t="s">
        <v>163</v>
      </c>
      <c r="D35" t="s">
        <v>164</v>
      </c>
    </row>
    <row r="36" spans="2:4" x14ac:dyDescent="0.25">
      <c r="B36" t="s">
        <v>2</v>
      </c>
      <c r="C36" t="s">
        <v>163</v>
      </c>
      <c r="D36" t="s">
        <v>167</v>
      </c>
    </row>
    <row r="37" spans="2:4" x14ac:dyDescent="0.25">
      <c r="B37" t="s">
        <v>31</v>
      </c>
      <c r="C37" t="s">
        <v>163</v>
      </c>
      <c r="D37" t="s">
        <v>165</v>
      </c>
    </row>
    <row r="38" spans="2:4" x14ac:dyDescent="0.25">
      <c r="B38" t="s">
        <v>14</v>
      </c>
      <c r="C38" t="s">
        <v>163</v>
      </c>
      <c r="D38" t="s">
        <v>165</v>
      </c>
    </row>
    <row r="39" spans="2:4" x14ac:dyDescent="0.25">
      <c r="B39" t="s">
        <v>14</v>
      </c>
      <c r="C39" t="s">
        <v>163</v>
      </c>
      <c r="D39" t="s">
        <v>167</v>
      </c>
    </row>
    <row r="40" spans="2:4" x14ac:dyDescent="0.25">
      <c r="B40" t="s">
        <v>32</v>
      </c>
      <c r="C40" t="s">
        <v>163</v>
      </c>
      <c r="D40" t="s">
        <v>165</v>
      </c>
    </row>
    <row r="41" spans="2:4" x14ac:dyDescent="0.25">
      <c r="B41" t="s">
        <v>33</v>
      </c>
      <c r="C41" t="s">
        <v>163</v>
      </c>
      <c r="D41" t="s">
        <v>165</v>
      </c>
    </row>
    <row r="42" spans="2:4" x14ac:dyDescent="0.25">
      <c r="B42" t="s">
        <v>34</v>
      </c>
      <c r="C42" t="s">
        <v>163</v>
      </c>
      <c r="D42" t="s">
        <v>165</v>
      </c>
    </row>
    <row r="43" spans="2:4" x14ac:dyDescent="0.25">
      <c r="B43" t="s">
        <v>35</v>
      </c>
      <c r="C43" t="s">
        <v>163</v>
      </c>
      <c r="D43" t="s">
        <v>165</v>
      </c>
    </row>
    <row r="44" spans="2:4" x14ac:dyDescent="0.25">
      <c r="B44" t="s">
        <v>36</v>
      </c>
      <c r="C44" t="s">
        <v>163</v>
      </c>
      <c r="D44" t="s">
        <v>164</v>
      </c>
    </row>
    <row r="45" spans="2:4" x14ac:dyDescent="0.25">
      <c r="B45" t="s">
        <v>37</v>
      </c>
      <c r="C45" t="s">
        <v>163</v>
      </c>
      <c r="D45" t="s">
        <v>165</v>
      </c>
    </row>
    <row r="46" spans="2:4" x14ac:dyDescent="0.25">
      <c r="B46" t="s">
        <v>38</v>
      </c>
      <c r="C46" t="s">
        <v>163</v>
      </c>
      <c r="D46" t="s">
        <v>165</v>
      </c>
    </row>
    <row r="47" spans="2:4" x14ac:dyDescent="0.25">
      <c r="B47" t="s">
        <v>39</v>
      </c>
      <c r="C47" t="s">
        <v>163</v>
      </c>
      <c r="D47" t="s">
        <v>167</v>
      </c>
    </row>
    <row r="48" spans="2:4" x14ac:dyDescent="0.25">
      <c r="B48" t="s">
        <v>40</v>
      </c>
      <c r="C48" t="s">
        <v>163</v>
      </c>
      <c r="D48" t="s">
        <v>166</v>
      </c>
    </row>
    <row r="49" spans="2:4" x14ac:dyDescent="0.25">
      <c r="B49" t="s">
        <v>41</v>
      </c>
      <c r="C49" t="s">
        <v>163</v>
      </c>
      <c r="D49" t="s">
        <v>165</v>
      </c>
    </row>
    <row r="50" spans="2:4" x14ac:dyDescent="0.25">
      <c r="B50" t="s">
        <v>42</v>
      </c>
      <c r="C50" t="s">
        <v>163</v>
      </c>
      <c r="D50" t="s">
        <v>165</v>
      </c>
    </row>
    <row r="51" spans="2:4" x14ac:dyDescent="0.25">
      <c r="B51" t="s">
        <v>43</v>
      </c>
      <c r="C51" t="s">
        <v>163</v>
      </c>
      <c r="D51" t="s">
        <v>165</v>
      </c>
    </row>
    <row r="52" spans="2:4" x14ac:dyDescent="0.25">
      <c r="B52" t="s">
        <v>44</v>
      </c>
      <c r="C52" t="s">
        <v>163</v>
      </c>
      <c r="D52" t="s">
        <v>165</v>
      </c>
    </row>
    <row r="53" spans="2:4" x14ac:dyDescent="0.25">
      <c r="B53" t="s">
        <v>45</v>
      </c>
      <c r="C53" t="s">
        <v>163</v>
      </c>
      <c r="D53" t="s">
        <v>165</v>
      </c>
    </row>
    <row r="54" spans="2:4" x14ac:dyDescent="0.25">
      <c r="B54" t="s">
        <v>46</v>
      </c>
      <c r="C54" t="s">
        <v>163</v>
      </c>
      <c r="D54" t="s">
        <v>165</v>
      </c>
    </row>
    <row r="55" spans="2:4" x14ac:dyDescent="0.25">
      <c r="B55" t="s">
        <v>47</v>
      </c>
      <c r="C55" t="s">
        <v>163</v>
      </c>
      <c r="D55" t="s">
        <v>164</v>
      </c>
    </row>
    <row r="56" spans="2:4" x14ac:dyDescent="0.25">
      <c r="B56" t="s">
        <v>48</v>
      </c>
      <c r="C56" t="s">
        <v>163</v>
      </c>
      <c r="D56" t="s">
        <v>165</v>
      </c>
    </row>
    <row r="57" spans="2:4" x14ac:dyDescent="0.25">
      <c r="B57" t="s">
        <v>49</v>
      </c>
      <c r="C57" t="s">
        <v>163</v>
      </c>
      <c r="D57" t="s">
        <v>165</v>
      </c>
    </row>
    <row r="58" spans="2:4" x14ac:dyDescent="0.25">
      <c r="B58" t="s">
        <v>50</v>
      </c>
      <c r="C58" t="s">
        <v>163</v>
      </c>
      <c r="D58" t="s">
        <v>166</v>
      </c>
    </row>
    <row r="59" spans="2:4" x14ac:dyDescent="0.25">
      <c r="B59" t="s">
        <v>51</v>
      </c>
      <c r="C59" t="s">
        <v>163</v>
      </c>
      <c r="D59" t="s">
        <v>165</v>
      </c>
    </row>
    <row r="60" spans="2:4" x14ac:dyDescent="0.25">
      <c r="B60" t="s">
        <v>52</v>
      </c>
      <c r="C60" t="s">
        <v>163</v>
      </c>
      <c r="D60" t="s">
        <v>165</v>
      </c>
    </row>
    <row r="61" spans="2:4" x14ac:dyDescent="0.25">
      <c r="B61" t="s">
        <v>53</v>
      </c>
      <c r="C61" t="s">
        <v>163</v>
      </c>
      <c r="D61" t="s">
        <v>165</v>
      </c>
    </row>
    <row r="62" spans="2:4" x14ac:dyDescent="0.25">
      <c r="B62" t="s">
        <v>54</v>
      </c>
      <c r="C62" t="s">
        <v>163</v>
      </c>
      <c r="D62" t="s">
        <v>165</v>
      </c>
    </row>
    <row r="63" spans="2:4" x14ac:dyDescent="0.25">
      <c r="B63" t="s">
        <v>58</v>
      </c>
      <c r="C63" t="s">
        <v>163</v>
      </c>
      <c r="D63" t="s">
        <v>164</v>
      </c>
    </row>
    <row r="64" spans="2:4" x14ac:dyDescent="0.25">
      <c r="B64" t="s">
        <v>59</v>
      </c>
      <c r="C64" t="s">
        <v>163</v>
      </c>
      <c r="D64" t="s">
        <v>167</v>
      </c>
    </row>
    <row r="65" spans="2:4" x14ac:dyDescent="0.25">
      <c r="B65" t="s">
        <v>60</v>
      </c>
      <c r="C65" t="s">
        <v>163</v>
      </c>
      <c r="D65" t="s">
        <v>165</v>
      </c>
    </row>
    <row r="66" spans="2:4" x14ac:dyDescent="0.25">
      <c r="B66" t="s">
        <v>61</v>
      </c>
      <c r="C66" t="s">
        <v>163</v>
      </c>
      <c r="D66" t="s">
        <v>165</v>
      </c>
    </row>
    <row r="67" spans="2:4" x14ac:dyDescent="0.25">
      <c r="B67" t="s">
        <v>62</v>
      </c>
      <c r="C67" t="s">
        <v>163</v>
      </c>
      <c r="D67" t="s">
        <v>164</v>
      </c>
    </row>
    <row r="68" spans="2:4" x14ac:dyDescent="0.25">
      <c r="B68" t="s">
        <v>63</v>
      </c>
      <c r="C68" t="s">
        <v>163</v>
      </c>
      <c r="D68" t="s">
        <v>165</v>
      </c>
    </row>
    <row r="69" spans="2:4" x14ac:dyDescent="0.25">
      <c r="B69" t="s">
        <v>15</v>
      </c>
      <c r="C69" t="s">
        <v>163</v>
      </c>
      <c r="D69" t="s">
        <v>165</v>
      </c>
    </row>
    <row r="70" spans="2:4" x14ac:dyDescent="0.25">
      <c r="B70" t="s">
        <v>64</v>
      </c>
      <c r="C70" t="s">
        <v>163</v>
      </c>
      <c r="D70" t="s">
        <v>165</v>
      </c>
    </row>
    <row r="71" spans="2:4" x14ac:dyDescent="0.25">
      <c r="B71" t="s">
        <v>65</v>
      </c>
      <c r="C71" t="s">
        <v>163</v>
      </c>
      <c r="D71" t="s">
        <v>165</v>
      </c>
    </row>
    <row r="72" spans="2:4" x14ac:dyDescent="0.25">
      <c r="B72" t="s">
        <v>112</v>
      </c>
      <c r="C72" t="s">
        <v>168</v>
      </c>
      <c r="D72" t="s">
        <v>165</v>
      </c>
    </row>
    <row r="73" spans="2:4" x14ac:dyDescent="0.25">
      <c r="B73" t="s">
        <v>93</v>
      </c>
      <c r="C73" t="s">
        <v>168</v>
      </c>
      <c r="D73" t="s">
        <v>167</v>
      </c>
    </row>
    <row r="74" spans="2:4" x14ac:dyDescent="0.25">
      <c r="B74" t="s">
        <v>94</v>
      </c>
      <c r="C74" t="s">
        <v>168</v>
      </c>
      <c r="D74" t="s">
        <v>164</v>
      </c>
    </row>
    <row r="75" spans="2:4" x14ac:dyDescent="0.25">
      <c r="B75" t="s">
        <v>97</v>
      </c>
      <c r="C75" t="s">
        <v>168</v>
      </c>
      <c r="D75" t="s">
        <v>165</v>
      </c>
    </row>
    <row r="76" spans="2:4" x14ac:dyDescent="0.25">
      <c r="B76" t="s">
        <v>85</v>
      </c>
      <c r="C76" t="s">
        <v>168</v>
      </c>
      <c r="D76" t="s">
        <v>165</v>
      </c>
    </row>
    <row r="77" spans="2:4" x14ac:dyDescent="0.25">
      <c r="B77" t="s">
        <v>86</v>
      </c>
      <c r="C77" t="s">
        <v>168</v>
      </c>
      <c r="D77" t="s">
        <v>165</v>
      </c>
    </row>
    <row r="78" spans="2:4" x14ac:dyDescent="0.25">
      <c r="B78" t="s">
        <v>98</v>
      </c>
      <c r="C78" t="s">
        <v>168</v>
      </c>
      <c r="D78" t="s">
        <v>165</v>
      </c>
    </row>
    <row r="79" spans="2:4" x14ac:dyDescent="0.25">
      <c r="B79" t="s">
        <v>87</v>
      </c>
      <c r="C79" t="s">
        <v>168</v>
      </c>
      <c r="D79" t="s">
        <v>165</v>
      </c>
    </row>
    <row r="80" spans="2:4" x14ac:dyDescent="0.25">
      <c r="B80" t="s">
        <v>99</v>
      </c>
      <c r="C80" t="s">
        <v>168</v>
      </c>
      <c r="D80" t="s">
        <v>165</v>
      </c>
    </row>
    <row r="81" spans="2:4" x14ac:dyDescent="0.25">
      <c r="B81" t="s">
        <v>95</v>
      </c>
      <c r="C81" t="s">
        <v>168</v>
      </c>
      <c r="D81" t="s">
        <v>165</v>
      </c>
    </row>
    <row r="82" spans="2:4" x14ac:dyDescent="0.25">
      <c r="B82" t="s">
        <v>102</v>
      </c>
      <c r="C82" t="s">
        <v>168</v>
      </c>
      <c r="D82" t="s">
        <v>165</v>
      </c>
    </row>
    <row r="83" spans="2:4" x14ac:dyDescent="0.25">
      <c r="B83" t="s">
        <v>103</v>
      </c>
      <c r="C83" t="s">
        <v>168</v>
      </c>
      <c r="D83" t="s">
        <v>165</v>
      </c>
    </row>
    <row r="84" spans="2:4" x14ac:dyDescent="0.25">
      <c r="B84" t="s">
        <v>88</v>
      </c>
      <c r="C84" t="s">
        <v>168</v>
      </c>
      <c r="D84" t="s">
        <v>165</v>
      </c>
    </row>
    <row r="85" spans="2:4" x14ac:dyDescent="0.25">
      <c r="B85" t="s">
        <v>104</v>
      </c>
      <c r="C85" t="s">
        <v>168</v>
      </c>
      <c r="D85" t="s">
        <v>165</v>
      </c>
    </row>
    <row r="86" spans="2:4" x14ac:dyDescent="0.25">
      <c r="B86" t="s">
        <v>89</v>
      </c>
      <c r="C86" t="s">
        <v>168</v>
      </c>
      <c r="D86" t="s">
        <v>165</v>
      </c>
    </row>
    <row r="87" spans="2:4" x14ac:dyDescent="0.25">
      <c r="B87" t="s">
        <v>105</v>
      </c>
      <c r="C87" t="s">
        <v>168</v>
      </c>
      <c r="D87" t="s">
        <v>165</v>
      </c>
    </row>
    <row r="88" spans="2:4" x14ac:dyDescent="0.25">
      <c r="B88" t="s">
        <v>106</v>
      </c>
      <c r="C88" t="s">
        <v>168</v>
      </c>
      <c r="D88" t="s">
        <v>165</v>
      </c>
    </row>
    <row r="89" spans="2:4" x14ac:dyDescent="0.25">
      <c r="B89" t="s">
        <v>90</v>
      </c>
      <c r="C89" t="s">
        <v>168</v>
      </c>
      <c r="D89" t="s">
        <v>167</v>
      </c>
    </row>
    <row r="90" spans="2:4" x14ac:dyDescent="0.25">
      <c r="B90" t="s">
        <v>107</v>
      </c>
      <c r="C90" t="s">
        <v>168</v>
      </c>
      <c r="D90" t="s">
        <v>165</v>
      </c>
    </row>
    <row r="91" spans="2:4" x14ac:dyDescent="0.25">
      <c r="B91" t="s">
        <v>91</v>
      </c>
      <c r="C91" t="s">
        <v>168</v>
      </c>
      <c r="D91" t="s">
        <v>167</v>
      </c>
    </row>
    <row r="92" spans="2:4" x14ac:dyDescent="0.25">
      <c r="B92" t="s">
        <v>108</v>
      </c>
      <c r="C92" t="s">
        <v>168</v>
      </c>
      <c r="D92" t="s">
        <v>165</v>
      </c>
    </row>
    <row r="93" spans="2:4" x14ac:dyDescent="0.25">
      <c r="B93" t="s">
        <v>96</v>
      </c>
      <c r="C93" t="s">
        <v>168</v>
      </c>
      <c r="D93" t="s">
        <v>165</v>
      </c>
    </row>
    <row r="94" spans="2:4" x14ac:dyDescent="0.25">
      <c r="B94" t="s">
        <v>92</v>
      </c>
      <c r="C94" t="s">
        <v>168</v>
      </c>
      <c r="D94" t="s">
        <v>165</v>
      </c>
    </row>
    <row r="95" spans="2:4" x14ac:dyDescent="0.25">
      <c r="B95" t="s">
        <v>109</v>
      </c>
      <c r="C95" t="s">
        <v>168</v>
      </c>
      <c r="D95" t="s">
        <v>166</v>
      </c>
    </row>
    <row r="96" spans="2:4" x14ac:dyDescent="0.25">
      <c r="B96" t="s">
        <v>110</v>
      </c>
      <c r="C96" t="s">
        <v>168</v>
      </c>
      <c r="D96" t="s">
        <v>165</v>
      </c>
    </row>
    <row r="97" spans="2:4" x14ac:dyDescent="0.25">
      <c r="B97" t="s">
        <v>15</v>
      </c>
      <c r="C97" t="s">
        <v>168</v>
      </c>
      <c r="D97" t="s">
        <v>165</v>
      </c>
    </row>
    <row r="98" spans="2:4" x14ac:dyDescent="0.25">
      <c r="B98" t="s">
        <v>111</v>
      </c>
      <c r="C98" t="s">
        <v>168</v>
      </c>
      <c r="D98" t="s">
        <v>164</v>
      </c>
    </row>
    <row r="99" spans="2:4" x14ac:dyDescent="0.25">
      <c r="B99" t="s">
        <v>116</v>
      </c>
      <c r="C99" t="s">
        <v>169</v>
      </c>
      <c r="D99" t="s">
        <v>165</v>
      </c>
    </row>
    <row r="100" spans="2:4" x14ac:dyDescent="0.25">
      <c r="B100" t="s">
        <v>117</v>
      </c>
      <c r="C100" t="s">
        <v>169</v>
      </c>
      <c r="D100" t="s">
        <v>166</v>
      </c>
    </row>
    <row r="101" spans="2:4" x14ac:dyDescent="0.25">
      <c r="B101" t="s">
        <v>123</v>
      </c>
      <c r="C101" t="s">
        <v>169</v>
      </c>
      <c r="D101" t="s">
        <v>167</v>
      </c>
    </row>
    <row r="102" spans="2:4" x14ac:dyDescent="0.25">
      <c r="B102" t="s">
        <v>118</v>
      </c>
      <c r="C102" t="s">
        <v>169</v>
      </c>
      <c r="D102" t="s">
        <v>167</v>
      </c>
    </row>
    <row r="103" spans="2:4" x14ac:dyDescent="0.25">
      <c r="B103" t="s">
        <v>119</v>
      </c>
      <c r="C103" t="s">
        <v>169</v>
      </c>
      <c r="D103" t="s">
        <v>165</v>
      </c>
    </row>
    <row r="104" spans="2:4" x14ac:dyDescent="0.25">
      <c r="B104" t="s">
        <v>120</v>
      </c>
      <c r="C104" t="s">
        <v>169</v>
      </c>
      <c r="D104" t="s">
        <v>167</v>
      </c>
    </row>
    <row r="105" spans="2:4" x14ac:dyDescent="0.25">
      <c r="B105" t="s">
        <v>124</v>
      </c>
      <c r="C105" t="s">
        <v>169</v>
      </c>
      <c r="D105" t="s">
        <v>165</v>
      </c>
    </row>
    <row r="106" spans="2:4" x14ac:dyDescent="0.25">
      <c r="B106" t="s">
        <v>125</v>
      </c>
      <c r="C106" t="s">
        <v>169</v>
      </c>
      <c r="D106" t="s">
        <v>165</v>
      </c>
    </row>
    <row r="107" spans="2:4" x14ac:dyDescent="0.25">
      <c r="B107" t="s">
        <v>114</v>
      </c>
      <c r="C107" t="s">
        <v>169</v>
      </c>
      <c r="D107" t="s">
        <v>165</v>
      </c>
    </row>
    <row r="108" spans="2:4" x14ac:dyDescent="0.25">
      <c r="B108" t="s">
        <v>121</v>
      </c>
      <c r="C108" t="s">
        <v>169</v>
      </c>
      <c r="D108" t="s">
        <v>165</v>
      </c>
    </row>
    <row r="109" spans="2:4" x14ac:dyDescent="0.25">
      <c r="B109" t="s">
        <v>115</v>
      </c>
      <c r="C109" t="s">
        <v>169</v>
      </c>
      <c r="D109" t="s">
        <v>167</v>
      </c>
    </row>
    <row r="110" spans="2:4" x14ac:dyDescent="0.25">
      <c r="B110" t="s">
        <v>122</v>
      </c>
      <c r="C110" t="s">
        <v>170</v>
      </c>
      <c r="D110" t="s">
        <v>167</v>
      </c>
    </row>
    <row r="111" spans="2:4" x14ac:dyDescent="0.25">
      <c r="B111" t="s">
        <v>123</v>
      </c>
      <c r="C111" t="s">
        <v>170</v>
      </c>
      <c r="D111" t="s">
        <v>165</v>
      </c>
    </row>
    <row r="112" spans="2:4" x14ac:dyDescent="0.25">
      <c r="B112" t="s">
        <v>129</v>
      </c>
      <c r="C112" t="s">
        <v>170</v>
      </c>
      <c r="D112" t="s">
        <v>165</v>
      </c>
    </row>
    <row r="113" spans="2:4" x14ac:dyDescent="0.25">
      <c r="B113" t="s">
        <v>149</v>
      </c>
      <c r="C113" t="s">
        <v>170</v>
      </c>
      <c r="D113" t="s">
        <v>165</v>
      </c>
    </row>
    <row r="114" spans="2:4" x14ac:dyDescent="0.25">
      <c r="B114" t="s">
        <v>143</v>
      </c>
      <c r="C114" t="s">
        <v>170</v>
      </c>
      <c r="D114" t="s">
        <v>165</v>
      </c>
    </row>
    <row r="115" spans="2:4" x14ac:dyDescent="0.25">
      <c r="B115" t="s">
        <v>136</v>
      </c>
      <c r="C115" t="s">
        <v>170</v>
      </c>
      <c r="D115" t="s">
        <v>165</v>
      </c>
    </row>
    <row r="116" spans="2:4" x14ac:dyDescent="0.25">
      <c r="B116" t="s">
        <v>151</v>
      </c>
      <c r="C116" t="s">
        <v>170</v>
      </c>
      <c r="D116" t="s">
        <v>165</v>
      </c>
    </row>
    <row r="117" spans="2:4" x14ac:dyDescent="0.25">
      <c r="B117" t="s">
        <v>152</v>
      </c>
      <c r="C117" t="s">
        <v>170</v>
      </c>
      <c r="D117" t="s">
        <v>165</v>
      </c>
    </row>
    <row r="118" spans="2:4" x14ac:dyDescent="0.25">
      <c r="B118" t="s">
        <v>70</v>
      </c>
      <c r="C118" t="s">
        <v>170</v>
      </c>
      <c r="D118" t="s">
        <v>165</v>
      </c>
    </row>
    <row r="119" spans="2:4" x14ac:dyDescent="0.25">
      <c r="B119" t="s">
        <v>146</v>
      </c>
      <c r="C119" t="s">
        <v>170</v>
      </c>
      <c r="D119" t="s">
        <v>166</v>
      </c>
    </row>
    <row r="120" spans="2:4" x14ac:dyDescent="0.25">
      <c r="B120" t="s">
        <v>71</v>
      </c>
      <c r="C120" t="s">
        <v>170</v>
      </c>
      <c r="D120" t="s">
        <v>165</v>
      </c>
    </row>
    <row r="121" spans="2:4" x14ac:dyDescent="0.25">
      <c r="B121" t="s">
        <v>153</v>
      </c>
      <c r="C121" t="s">
        <v>170</v>
      </c>
      <c r="D121" t="s">
        <v>165</v>
      </c>
    </row>
    <row r="122" spans="2:4" x14ac:dyDescent="0.25">
      <c r="B122" t="s">
        <v>154</v>
      </c>
      <c r="C122" t="s">
        <v>170</v>
      </c>
      <c r="D122" t="s">
        <v>167</v>
      </c>
    </row>
    <row r="123" spans="2:4" x14ac:dyDescent="0.25">
      <c r="B123" t="s">
        <v>137</v>
      </c>
      <c r="C123" t="s">
        <v>170</v>
      </c>
      <c r="D123" t="s">
        <v>165</v>
      </c>
    </row>
    <row r="124" spans="2:4" x14ac:dyDescent="0.25">
      <c r="B124" t="s">
        <v>138</v>
      </c>
      <c r="C124" t="s">
        <v>170</v>
      </c>
      <c r="D124" t="s">
        <v>167</v>
      </c>
    </row>
    <row r="125" spans="2:4" x14ac:dyDescent="0.25">
      <c r="B125" t="s">
        <v>139</v>
      </c>
      <c r="C125" t="s">
        <v>170</v>
      </c>
      <c r="D125" t="s">
        <v>165</v>
      </c>
    </row>
    <row r="126" spans="2:4" x14ac:dyDescent="0.25">
      <c r="B126" t="s">
        <v>155</v>
      </c>
      <c r="C126" t="s">
        <v>170</v>
      </c>
      <c r="D126" t="s">
        <v>164</v>
      </c>
    </row>
    <row r="127" spans="2:4" x14ac:dyDescent="0.25">
      <c r="B127" t="s">
        <v>156</v>
      </c>
      <c r="C127" t="s">
        <v>170</v>
      </c>
      <c r="D127" t="s">
        <v>165</v>
      </c>
    </row>
    <row r="128" spans="2:4" x14ac:dyDescent="0.25">
      <c r="B128" t="s">
        <v>140</v>
      </c>
      <c r="C128" t="s">
        <v>170</v>
      </c>
      <c r="D128" t="s">
        <v>164</v>
      </c>
    </row>
    <row r="129" spans="2:4" x14ac:dyDescent="0.25">
      <c r="B129" t="s">
        <v>141</v>
      </c>
      <c r="C129" t="s">
        <v>170</v>
      </c>
      <c r="D129" t="s">
        <v>165</v>
      </c>
    </row>
    <row r="130" spans="2:4" x14ac:dyDescent="0.25">
      <c r="B130" t="s">
        <v>157</v>
      </c>
      <c r="C130" t="s">
        <v>170</v>
      </c>
      <c r="D130" t="s">
        <v>167</v>
      </c>
    </row>
    <row r="131" spans="2:4" x14ac:dyDescent="0.25">
      <c r="B131" t="s">
        <v>142</v>
      </c>
      <c r="C131" t="s">
        <v>170</v>
      </c>
      <c r="D131" t="s">
        <v>165</v>
      </c>
    </row>
    <row r="132" spans="2:4" x14ac:dyDescent="0.25">
      <c r="B132" t="s">
        <v>147</v>
      </c>
      <c r="C132" t="s">
        <v>170</v>
      </c>
      <c r="D132" t="s">
        <v>167</v>
      </c>
    </row>
    <row r="133" spans="2:4" x14ac:dyDescent="0.25">
      <c r="B133" t="s">
        <v>148</v>
      </c>
      <c r="C133" t="s">
        <v>170</v>
      </c>
      <c r="D133" t="s">
        <v>165</v>
      </c>
    </row>
    <row r="134" spans="2:4" x14ac:dyDescent="0.25">
      <c r="B134" t="s">
        <v>16</v>
      </c>
      <c r="C134" t="s">
        <v>170</v>
      </c>
      <c r="D134" t="s">
        <v>164</v>
      </c>
    </row>
    <row r="135" spans="2:4" x14ac:dyDescent="0.25">
      <c r="B135" t="s">
        <v>28</v>
      </c>
      <c r="C135" t="s">
        <v>170</v>
      </c>
      <c r="D135" t="s">
        <v>165</v>
      </c>
    </row>
    <row r="136" spans="2:4" x14ac:dyDescent="0.25">
      <c r="B136" t="s">
        <v>128</v>
      </c>
      <c r="C136" t="s">
        <v>170</v>
      </c>
      <c r="D136" t="s">
        <v>165</v>
      </c>
    </row>
    <row r="137" spans="2:4" x14ac:dyDescent="0.25">
      <c r="B137" t="s">
        <v>30</v>
      </c>
      <c r="C137" t="s">
        <v>170</v>
      </c>
      <c r="D137" t="s">
        <v>166</v>
      </c>
    </row>
    <row r="138" spans="2:4" x14ac:dyDescent="0.25">
      <c r="B138" t="s">
        <v>100</v>
      </c>
      <c r="C138" t="s">
        <v>170</v>
      </c>
      <c r="D138" t="s">
        <v>165</v>
      </c>
    </row>
    <row r="139" spans="2:4" x14ac:dyDescent="0.25">
      <c r="B139" t="s">
        <v>101</v>
      </c>
      <c r="C139" t="s">
        <v>170</v>
      </c>
      <c r="D139" t="s">
        <v>165</v>
      </c>
    </row>
    <row r="140" spans="2:4" x14ac:dyDescent="0.25">
      <c r="B140" t="s">
        <v>144</v>
      </c>
      <c r="C140" t="s">
        <v>170</v>
      </c>
      <c r="D140" t="s">
        <v>165</v>
      </c>
    </row>
    <row r="141" spans="2:4" x14ac:dyDescent="0.25">
      <c r="B141" t="s">
        <v>121</v>
      </c>
      <c r="C141" t="s">
        <v>170</v>
      </c>
      <c r="D141" t="s">
        <v>167</v>
      </c>
    </row>
    <row r="142" spans="2:4" x14ac:dyDescent="0.25">
      <c r="B142" t="s">
        <v>18</v>
      </c>
      <c r="C142" t="s">
        <v>170</v>
      </c>
      <c r="D142" t="s">
        <v>167</v>
      </c>
    </row>
    <row r="143" spans="2:4" x14ac:dyDescent="0.25">
      <c r="B143" t="s">
        <v>130</v>
      </c>
      <c r="C143" t="s">
        <v>170</v>
      </c>
      <c r="D143" t="s">
        <v>165</v>
      </c>
    </row>
    <row r="144" spans="2:4" x14ac:dyDescent="0.25">
      <c r="B144" t="s">
        <v>126</v>
      </c>
      <c r="C144" t="s">
        <v>170</v>
      </c>
      <c r="D144" t="s">
        <v>165</v>
      </c>
    </row>
    <row r="145" spans="2:4" x14ac:dyDescent="0.25">
      <c r="B145" t="s">
        <v>131</v>
      </c>
      <c r="C145" t="s">
        <v>170</v>
      </c>
      <c r="D145" t="s">
        <v>165</v>
      </c>
    </row>
    <row r="146" spans="2:4" x14ac:dyDescent="0.25">
      <c r="B146" t="s">
        <v>132</v>
      </c>
      <c r="C146" t="s">
        <v>170</v>
      </c>
      <c r="D146" t="s">
        <v>165</v>
      </c>
    </row>
    <row r="147" spans="2:4" x14ac:dyDescent="0.25">
      <c r="B147" t="s">
        <v>145</v>
      </c>
      <c r="C147" t="s">
        <v>170</v>
      </c>
      <c r="D147" t="s">
        <v>167</v>
      </c>
    </row>
    <row r="148" spans="2:4" x14ac:dyDescent="0.25">
      <c r="B148" t="s">
        <v>133</v>
      </c>
      <c r="C148" t="s">
        <v>170</v>
      </c>
      <c r="D148" t="s">
        <v>167</v>
      </c>
    </row>
    <row r="149" spans="2:4" x14ac:dyDescent="0.25">
      <c r="B149" t="s">
        <v>55</v>
      </c>
      <c r="C149" t="s">
        <v>170</v>
      </c>
      <c r="D149" t="s">
        <v>165</v>
      </c>
    </row>
    <row r="150" spans="2:4" x14ac:dyDescent="0.25">
      <c r="B150" t="s">
        <v>56</v>
      </c>
      <c r="C150" t="s">
        <v>170</v>
      </c>
      <c r="D150" t="s">
        <v>165</v>
      </c>
    </row>
    <row r="151" spans="2:4" x14ac:dyDescent="0.25">
      <c r="B151" t="s">
        <v>57</v>
      </c>
      <c r="C151" t="s">
        <v>170</v>
      </c>
      <c r="D151" t="s">
        <v>165</v>
      </c>
    </row>
    <row r="152" spans="2:4" x14ac:dyDescent="0.25">
      <c r="B152" t="s">
        <v>134</v>
      </c>
      <c r="C152" t="s">
        <v>170</v>
      </c>
      <c r="D152" t="s">
        <v>166</v>
      </c>
    </row>
    <row r="153" spans="2:4" x14ac:dyDescent="0.25">
      <c r="B153" t="s">
        <v>150</v>
      </c>
      <c r="C153" t="s">
        <v>170</v>
      </c>
      <c r="D153" t="s">
        <v>167</v>
      </c>
    </row>
    <row r="154" spans="2:4" x14ac:dyDescent="0.25">
      <c r="B154" t="s">
        <v>135</v>
      </c>
      <c r="C154" t="s">
        <v>170</v>
      </c>
      <c r="D154" t="s">
        <v>165</v>
      </c>
    </row>
    <row r="155" spans="2:4" x14ac:dyDescent="0.25">
      <c r="B155" t="s">
        <v>127</v>
      </c>
      <c r="C155" t="s">
        <v>170</v>
      </c>
      <c r="D155" t="s">
        <v>165</v>
      </c>
    </row>
    <row r="156" spans="2:4" x14ac:dyDescent="0.25">
      <c r="B156" t="s">
        <v>4</v>
      </c>
      <c r="C156" t="s">
        <v>170</v>
      </c>
      <c r="D156" t="s">
        <v>165</v>
      </c>
    </row>
    <row r="157" spans="2:4" x14ac:dyDescent="0.25">
      <c r="B157" t="s">
        <v>6</v>
      </c>
      <c r="C157" t="s">
        <v>170</v>
      </c>
      <c r="D157" t="s">
        <v>165</v>
      </c>
    </row>
    <row r="158" spans="2:4" x14ac:dyDescent="0.25">
      <c r="B158" t="s">
        <v>113</v>
      </c>
      <c r="C158" t="s">
        <v>170</v>
      </c>
      <c r="D158" t="s">
        <v>165</v>
      </c>
    </row>
  </sheetData>
  <autoFilter ref="B2:D158" xr:uid="{020EC039-F7E7-4DEF-AE9A-E6C4DE324E37}">
    <sortState xmlns:xlrd2="http://schemas.microsoft.com/office/spreadsheetml/2017/richdata2" ref="B3:D158">
      <sortCondition ref="C2:C158"/>
    </sortState>
  </autoFilter>
  <pageMargins left="0.7" right="0.7" top="0.78740157499999996" bottom="0.78740157499999996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4</vt:i4>
      </vt:variant>
    </vt:vector>
  </HeadingPairs>
  <TitlesOfParts>
    <vt:vector size="4" baseType="lpstr">
      <vt:lpstr>zadání</vt:lpstr>
      <vt:lpstr>rozdělení k operátorům</vt:lpstr>
      <vt:lpstr>Operátoři</vt:lpstr>
      <vt:lpstr>výstup z volání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Tintěra</dc:creator>
  <cp:lastModifiedBy>Ondřej Švorc</cp:lastModifiedBy>
  <dcterms:created xsi:type="dcterms:W3CDTF">2023-01-06T15:36:19Z</dcterms:created>
  <dcterms:modified xsi:type="dcterms:W3CDTF">2025-11-02T14:00:36Z</dcterms:modified>
</cp:coreProperties>
</file>