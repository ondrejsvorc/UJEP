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UJEP\AVD1\template\"/>
    </mc:Choice>
  </mc:AlternateContent>
  <xr:revisionPtr revIDLastSave="0" documentId="13_ncr:1_{CF07343F-AD92-4FD7-A80F-FDF12440868E}" xr6:coauthVersionLast="47" xr6:coauthVersionMax="47" xr10:uidLastSave="{00000000-0000-0000-0000-000000000000}"/>
  <bookViews>
    <workbookView xWindow="-120" yWindow="-120" windowWidth="29040" windowHeight="17520" activeTab="1" xr2:uid="{1B5BFDE5-F21C-437C-BFD9-9B172A18FFFA}"/>
  </bookViews>
  <sheets>
    <sheet name="Zadání" sheetId="5" r:id="rId1"/>
    <sheet name="List1" sheetId="13" r:id="rId2"/>
    <sheet name="prodeje" sheetId="1" r:id="rId3"/>
    <sheet name="Obchodníci" sheetId="7" r:id="rId4"/>
    <sheet name="produkty" sheetId="12" r:id="rId5"/>
  </sheets>
  <definedNames>
    <definedName name="_xlnm._FilterDatabase" localSheetId="2" hidden="1">prodeje!$B$3:$F$322</definedName>
  </definedNames>
  <calcPr calcId="191028"/>
  <pivotCaches>
    <pivotCache cacheId="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3" i="1" l="1"/>
  <c r="E29" i="7"/>
  <c r="E10" i="7"/>
  <c r="E7" i="7"/>
  <c r="E16" i="7"/>
  <c r="E40" i="7"/>
  <c r="E27" i="7"/>
  <c r="E41" i="7"/>
  <c r="E14" i="7"/>
  <c r="E35" i="7"/>
  <c r="E20" i="7"/>
  <c r="E5" i="7"/>
  <c r="E42" i="7"/>
  <c r="E15" i="7"/>
  <c r="E23" i="7"/>
  <c r="E21" i="7"/>
  <c r="E25" i="7"/>
  <c r="E26" i="7"/>
  <c r="E39" i="7"/>
  <c r="E37" i="7"/>
  <c r="E17" i="7"/>
  <c r="E18" i="7"/>
  <c r="E43" i="7"/>
  <c r="E24" i="7"/>
  <c r="E44" i="7"/>
  <c r="E22" i="7"/>
  <c r="E4" i="7"/>
  <c r="E38" i="7"/>
  <c r="E31" i="7"/>
  <c r="E28" i="7"/>
  <c r="E32" i="7"/>
  <c r="E33" i="7"/>
  <c r="E34" i="7"/>
  <c r="E45" i="7"/>
  <c r="E46" i="7"/>
  <c r="E6" i="7"/>
  <c r="E11" i="7"/>
  <c r="E12" i="7"/>
  <c r="E9" i="7"/>
  <c r="E8" i="7"/>
  <c r="E3" i="7"/>
  <c r="E36" i="7"/>
  <c r="E19" i="7"/>
  <c r="E30" i="7"/>
  <c r="E13" i="7"/>
  <c r="H4" i="1"/>
  <c r="H5" i="1"/>
  <c r="H6" i="1"/>
  <c r="H7" i="1"/>
  <c r="H8" i="1"/>
  <c r="H9" i="1"/>
  <c r="H10" i="1"/>
  <c r="H11" i="1"/>
  <c r="H12" i="1"/>
  <c r="H13" i="1"/>
  <c r="H14" i="1"/>
  <c r="H15" i="1"/>
  <c r="H17" i="1"/>
  <c r="H18" i="1"/>
  <c r="H19" i="1"/>
  <c r="H20" i="1"/>
  <c r="H21" i="1"/>
  <c r="H22" i="1"/>
  <c r="H23" i="1"/>
  <c r="H24" i="1"/>
  <c r="H25" i="1"/>
  <c r="H26" i="1"/>
  <c r="H27"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G4" i="1"/>
  <c r="G5" i="1"/>
  <c r="G6" i="1"/>
  <c r="G7" i="1"/>
  <c r="G8" i="1"/>
  <c r="G9" i="1"/>
  <c r="G10" i="1"/>
  <c r="G11" i="1"/>
  <c r="G12" i="1"/>
  <c r="G13" i="1"/>
  <c r="G14" i="1"/>
  <c r="G15" i="1"/>
  <c r="G17" i="1"/>
  <c r="G18" i="1"/>
  <c r="G19" i="1"/>
  <c r="G20" i="1"/>
  <c r="G21" i="1"/>
  <c r="G22" i="1"/>
  <c r="G23" i="1"/>
  <c r="G24" i="1"/>
  <c r="G25" i="1"/>
  <c r="G26" i="1"/>
  <c r="G27"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alcChain>
</file>

<file path=xl/sharedStrings.xml><?xml version="1.0" encoding="utf-8"?>
<sst xmlns="http://schemas.openxmlformats.org/spreadsheetml/2006/main" count="1153" uniqueCount="445">
  <si>
    <t>Datum</t>
  </si>
  <si>
    <t>ID prodeje</t>
  </si>
  <si>
    <t>Produkt</t>
  </si>
  <si>
    <t>Prodejce</t>
  </si>
  <si>
    <t>Ks</t>
  </si>
  <si>
    <t>P023</t>
  </si>
  <si>
    <t>P031</t>
  </si>
  <si>
    <t>P032</t>
  </si>
  <si>
    <t>P037</t>
  </si>
  <si>
    <t>P040</t>
  </si>
  <si>
    <t>P043</t>
  </si>
  <si>
    <t>P301</t>
  </si>
  <si>
    <t>P058</t>
  </si>
  <si>
    <t>P063</t>
  </si>
  <si>
    <t>P072</t>
  </si>
  <si>
    <t>P112</t>
  </si>
  <si>
    <t>P555</t>
  </si>
  <si>
    <t>P073</t>
  </si>
  <si>
    <t>P044</t>
  </si>
  <si>
    <t>P111</t>
  </si>
  <si>
    <t>P127</t>
  </si>
  <si>
    <t>P136</t>
  </si>
  <si>
    <t>P356</t>
  </si>
  <si>
    <t>P222</t>
  </si>
  <si>
    <t>P352</t>
  </si>
  <si>
    <t>P360</t>
  </si>
  <si>
    <t>P223</t>
  </si>
  <si>
    <t>P220</t>
  </si>
  <si>
    <t>Kód prodejce</t>
  </si>
  <si>
    <t>Jméno</t>
  </si>
  <si>
    <t>Region</t>
  </si>
  <si>
    <t>Novák</t>
  </si>
  <si>
    <t>Praha</t>
  </si>
  <si>
    <t>Vodička</t>
  </si>
  <si>
    <t>Severní Čechy</t>
  </si>
  <si>
    <t>Veselovský</t>
  </si>
  <si>
    <t>P033</t>
  </si>
  <si>
    <t>Koutovec</t>
  </si>
  <si>
    <t>Jižní Čechy</t>
  </si>
  <si>
    <t>Trlík</t>
  </si>
  <si>
    <t>Bouše</t>
  </si>
  <si>
    <t>Náhlá</t>
  </si>
  <si>
    <t>Kovaříček</t>
  </si>
  <si>
    <t>P076</t>
  </si>
  <si>
    <t>Janovčík</t>
  </si>
  <si>
    <t>Holý</t>
  </si>
  <si>
    <t>Havelka</t>
  </si>
  <si>
    <t>Západní Čechy</t>
  </si>
  <si>
    <t>Nebohý</t>
  </si>
  <si>
    <t>Koutný</t>
  </si>
  <si>
    <t>Nováček</t>
  </si>
  <si>
    <t>Hrubá</t>
  </si>
  <si>
    <t>Východní Čechy</t>
  </si>
  <si>
    <t>Jemný</t>
  </si>
  <si>
    <t>Adamek</t>
  </si>
  <si>
    <t>P300</t>
  </si>
  <si>
    <t>Koutník</t>
  </si>
  <si>
    <t>Vonková</t>
  </si>
  <si>
    <t>Brumbla</t>
  </si>
  <si>
    <t>P358</t>
  </si>
  <si>
    <t>Kapřík</t>
  </si>
  <si>
    <t>P362</t>
  </si>
  <si>
    <t>Kuše</t>
  </si>
  <si>
    <t>Jarník</t>
  </si>
  <si>
    <t>P228</t>
  </si>
  <si>
    <t>P119</t>
  </si>
  <si>
    <t>Topinková</t>
  </si>
  <si>
    <t>P049</t>
  </si>
  <si>
    <t>P077</t>
  </si>
  <si>
    <t>P079</t>
  </si>
  <si>
    <t>Veverka</t>
  </si>
  <si>
    <t>P303</t>
  </si>
  <si>
    <t>Chleb</t>
  </si>
  <si>
    <t>Produkty</t>
  </si>
  <si>
    <t>Objem</t>
  </si>
  <si>
    <t>prodejní cena</t>
  </si>
  <si>
    <t>250 ml</t>
  </si>
  <si>
    <t>Sprchový gel  SG I</t>
  </si>
  <si>
    <t>Sprchový gel  SG-II</t>
  </si>
  <si>
    <t>Sprchový gel  SG-III</t>
  </si>
  <si>
    <t>SG-II</t>
  </si>
  <si>
    <t>SG III</t>
  </si>
  <si>
    <t>SG-I</t>
  </si>
  <si>
    <t>2025S100111</t>
  </si>
  <si>
    <t>2025S1001224224</t>
  </si>
  <si>
    <t>2025S100222</t>
  </si>
  <si>
    <t>2025S1002225225</t>
  </si>
  <si>
    <t>2025S10032121</t>
  </si>
  <si>
    <t>2025S1003244244</t>
  </si>
  <si>
    <t>2025S10042222</t>
  </si>
  <si>
    <t>2025S1004245245</t>
  </si>
  <si>
    <t>2025S1004299299</t>
  </si>
  <si>
    <t>2025S1005258258</t>
  </si>
  <si>
    <t>2025S1005312312</t>
  </si>
  <si>
    <t>2025S10053535</t>
  </si>
  <si>
    <t>2025S1006268268</t>
  </si>
  <si>
    <t>2025S1006288288</t>
  </si>
  <si>
    <t>2025S10064545</t>
  </si>
  <si>
    <t>2025S1007262262</t>
  </si>
  <si>
    <t>2025S1007282282</t>
  </si>
  <si>
    <t>2025S1007316316</t>
  </si>
  <si>
    <t>2025S10073939</t>
  </si>
  <si>
    <t>2025S1008263263</t>
  </si>
  <si>
    <t>2025S1008283283</t>
  </si>
  <si>
    <t>2025S10084040</t>
  </si>
  <si>
    <t>2025S1009273273</t>
  </si>
  <si>
    <t>2025S1009293293</t>
  </si>
  <si>
    <t>2025S10095050</t>
  </si>
  <si>
    <t>2025S10101313</t>
  </si>
  <si>
    <t>2025S1010236236</t>
  </si>
  <si>
    <t>2025S10111515</t>
  </si>
  <si>
    <t>2025S1011238238</t>
  </si>
  <si>
    <t>2025S10121616</t>
  </si>
  <si>
    <t>2025S1012239239</t>
  </si>
  <si>
    <t>2025S10132323</t>
  </si>
  <si>
    <t>2025S1013246246</t>
  </si>
  <si>
    <t>2025S1013300300</t>
  </si>
  <si>
    <t>2025S1014274274</t>
  </si>
  <si>
    <t>2025S10145151</t>
  </si>
  <si>
    <t>2025S1015278278</t>
  </si>
  <si>
    <t>2025S1015295295</t>
  </si>
  <si>
    <t>2025S10155555</t>
  </si>
  <si>
    <t>2025S10161010</t>
  </si>
  <si>
    <t>2025S1016233233</t>
  </si>
  <si>
    <t>2025S1017253253</t>
  </si>
  <si>
    <t>2025S10173030</t>
  </si>
  <si>
    <t>2025S1017307307</t>
  </si>
  <si>
    <t>2025S10181717</t>
  </si>
  <si>
    <t>2025S1018240240</t>
  </si>
  <si>
    <t>2025S1019275275</t>
  </si>
  <si>
    <t>2025S10195252</t>
  </si>
  <si>
    <t>2025S10201818</t>
  </si>
  <si>
    <t>2025S1020241241</t>
  </si>
  <si>
    <t>2025S1021254254</t>
  </si>
  <si>
    <t>2025S1021308308</t>
  </si>
  <si>
    <t>2025S10213131</t>
  </si>
  <si>
    <t>2025S1022255255</t>
  </si>
  <si>
    <t>2025S1022309309</t>
  </si>
  <si>
    <t>2025S10223232</t>
  </si>
  <si>
    <t>2025S1023266266</t>
  </si>
  <si>
    <t>2025S1023286286</t>
  </si>
  <si>
    <t>2025S10234343</t>
  </si>
  <si>
    <t>2025S1024269269</t>
  </si>
  <si>
    <t>2025S1024289289</t>
  </si>
  <si>
    <t>2025S10244646</t>
  </si>
  <si>
    <t>2025S1025280280</t>
  </si>
  <si>
    <t>2025S1025297297</t>
  </si>
  <si>
    <t>2025S10255757</t>
  </si>
  <si>
    <t>2025S1026226226</t>
  </si>
  <si>
    <t>2025S102633</t>
  </si>
  <si>
    <t>2025S1027227227</t>
  </si>
  <si>
    <t>2025S102744</t>
  </si>
  <si>
    <t>2025S1028232232</t>
  </si>
  <si>
    <t>2025S102899</t>
  </si>
  <si>
    <t>2025S10291111</t>
  </si>
  <si>
    <t>2025S1029234234</t>
  </si>
  <si>
    <t>2025S10301212</t>
  </si>
  <si>
    <t>2025S1030235235</t>
  </si>
  <si>
    <t>2025S10311919</t>
  </si>
  <si>
    <t>2025S1031242242</t>
  </si>
  <si>
    <t>2025S10322424</t>
  </si>
  <si>
    <t>2025S1032247247</t>
  </si>
  <si>
    <t>2025S1032301301</t>
  </si>
  <si>
    <t>2025S1033248248</t>
  </si>
  <si>
    <t>2025S10332525</t>
  </si>
  <si>
    <t>2025S1033302302</t>
  </si>
  <si>
    <t>2025S1034252252</t>
  </si>
  <si>
    <t>2025S10342929</t>
  </si>
  <si>
    <t>2025S1034306306</t>
  </si>
  <si>
    <t>2025S1035270270</t>
  </si>
  <si>
    <t>2025S1035290290</t>
  </si>
  <si>
    <t>2025S10354747</t>
  </si>
  <si>
    <t>2025S10361414</t>
  </si>
  <si>
    <t>2025S1036237237</t>
  </si>
  <si>
    <t>2025S1037249249</t>
  </si>
  <si>
    <t>2025S10372626</t>
  </si>
  <si>
    <t>2025S1037303303</t>
  </si>
  <si>
    <t>2025S1038259259</t>
  </si>
  <si>
    <t>2025S1038313313</t>
  </si>
  <si>
    <t>2025S10383636</t>
  </si>
  <si>
    <t>2025S1039264264</t>
  </si>
  <si>
    <t>2025S1039284284</t>
  </si>
  <si>
    <t>2025S10394141</t>
  </si>
  <si>
    <t>2025S1040281281</t>
  </si>
  <si>
    <t>2025S1040298298</t>
  </si>
  <si>
    <t>2025S10405858</t>
  </si>
  <si>
    <t>2025S1041228228</t>
  </si>
  <si>
    <t>2025S104155</t>
  </si>
  <si>
    <t>2025S1042250250</t>
  </si>
  <si>
    <t>2025S10422727</t>
  </si>
  <si>
    <t>2025S1042304304</t>
  </si>
  <si>
    <t>2025S1043279279</t>
  </si>
  <si>
    <t>2025S1043296296</t>
  </si>
  <si>
    <t>2025S10435656</t>
  </si>
  <si>
    <t>2025S1044229229</t>
  </si>
  <si>
    <t>2025S104466</t>
  </si>
  <si>
    <t>2025S1045230230</t>
  </si>
  <si>
    <t>2025S104577</t>
  </si>
  <si>
    <t>2025S1046256256</t>
  </si>
  <si>
    <t>2025S1046310310</t>
  </si>
  <si>
    <t>2025S10463333</t>
  </si>
  <si>
    <t>2025S1047265265</t>
  </si>
  <si>
    <t>2025S1047285285</t>
  </si>
  <si>
    <t>2025S10474242</t>
  </si>
  <si>
    <t>2025S1048267267</t>
  </si>
  <si>
    <t>2025S1048287287</t>
  </si>
  <si>
    <t>2025S10484444</t>
  </si>
  <si>
    <t>2025S1049277277</t>
  </si>
  <si>
    <t>2025S1049294294</t>
  </si>
  <si>
    <t>2025S10495454</t>
  </si>
  <si>
    <t>2025S1050231231</t>
  </si>
  <si>
    <t>2025S105088</t>
  </si>
  <si>
    <t>2025S1051260260</t>
  </si>
  <si>
    <t>2025S1051314314</t>
  </si>
  <si>
    <t>2025S10513737</t>
  </si>
  <si>
    <t>2025S1052271271</t>
  </si>
  <si>
    <t>2025S1052291291</t>
  </si>
  <si>
    <t>2025S10524848</t>
  </si>
  <si>
    <t>2025S1053257257</t>
  </si>
  <si>
    <t>2025S1053311311</t>
  </si>
  <si>
    <t>2025S10533434</t>
  </si>
  <si>
    <t>2025S10542020</t>
  </si>
  <si>
    <t>2025S1054243243</t>
  </si>
  <si>
    <t>2025S1055251251</t>
  </si>
  <si>
    <t>2025S10552828</t>
  </si>
  <si>
    <t>2025S1055305305</t>
  </si>
  <si>
    <t>2025S1056261261</t>
  </si>
  <si>
    <t>2025S1056315315</t>
  </si>
  <si>
    <t>2025S10563838</t>
  </si>
  <si>
    <t>2025S1057272272</t>
  </si>
  <si>
    <t>2025S1057292292</t>
  </si>
  <si>
    <t>2025S10574949</t>
  </si>
  <si>
    <t>2025S1058276276</t>
  </si>
  <si>
    <t>2025S10585353</t>
  </si>
  <si>
    <t>2025S1059100100</t>
  </si>
  <si>
    <t>2025S1060118118</t>
  </si>
  <si>
    <t>2025S10615959</t>
  </si>
  <si>
    <t>2025S10626060</t>
  </si>
  <si>
    <t>2025S10636161</t>
  </si>
  <si>
    <t>2025S10646262</t>
  </si>
  <si>
    <t>2025S10656363</t>
  </si>
  <si>
    <t>2025S10666868</t>
  </si>
  <si>
    <t>2025S10677171</t>
  </si>
  <si>
    <t>2025S10686969</t>
  </si>
  <si>
    <t>2025S10698282</t>
  </si>
  <si>
    <t>2025S10708383</t>
  </si>
  <si>
    <t>2025S10717272</t>
  </si>
  <si>
    <t>2025S10727070</t>
  </si>
  <si>
    <t>2025S10738484</t>
  </si>
  <si>
    <t>2025S10746464</t>
  </si>
  <si>
    <t>2025S10756666</t>
  </si>
  <si>
    <t>2025S10767373</t>
  </si>
  <si>
    <t>2025S10777777</t>
  </si>
  <si>
    <t>2025S10787979</t>
  </si>
  <si>
    <t>2025S10798585</t>
  </si>
  <si>
    <t>2025S10809494</t>
  </si>
  <si>
    <t>2025S10816565</t>
  </si>
  <si>
    <t>2025S10828686</t>
  </si>
  <si>
    <t>2025S10839797</t>
  </si>
  <si>
    <t>2025S10848080</t>
  </si>
  <si>
    <t>2025S10858787</t>
  </si>
  <si>
    <t>2025S10867474</t>
  </si>
  <si>
    <t>2025S10877575</t>
  </si>
  <si>
    <t>2025S10887878</t>
  </si>
  <si>
    <t>2025S1089101101</t>
  </si>
  <si>
    <t>2025S10906767</t>
  </si>
  <si>
    <t>2025S10917676</t>
  </si>
  <si>
    <t>2025S10928181</t>
  </si>
  <si>
    <t>2025S10938888</t>
  </si>
  <si>
    <t>2025S10948989</t>
  </si>
  <si>
    <t>2025S10959595</t>
  </si>
  <si>
    <t>2025S1096104104</t>
  </si>
  <si>
    <t>2025S1097102102</t>
  </si>
  <si>
    <t>2025S1098105105</t>
  </si>
  <si>
    <t>2025S10999898</t>
  </si>
  <si>
    <t>2025S1100112112</t>
  </si>
  <si>
    <t>2025S1101113113</t>
  </si>
  <si>
    <t>2025S11029696</t>
  </si>
  <si>
    <t>2025S11039090</t>
  </si>
  <si>
    <t>2025S11049191</t>
  </si>
  <si>
    <t>2025S1105114114</t>
  </si>
  <si>
    <t>2025S1106161161</t>
  </si>
  <si>
    <t>2025S1107106106</t>
  </si>
  <si>
    <t>2025S1108115115</t>
  </si>
  <si>
    <t>2025S11099292</t>
  </si>
  <si>
    <t>2025S11109393</t>
  </si>
  <si>
    <t>2025S1111116116</t>
  </si>
  <si>
    <t>2025S1112107107</t>
  </si>
  <si>
    <t>2025S1113162162</t>
  </si>
  <si>
    <t>2025S1114108108</t>
  </si>
  <si>
    <t>2025S1115103103</t>
  </si>
  <si>
    <t>2025S11169999</t>
  </si>
  <si>
    <t>2025S1117109109</t>
  </si>
  <si>
    <t>2025S1118111111</t>
  </si>
  <si>
    <t>2025S1119110110</t>
  </si>
  <si>
    <t>2025S1120163163</t>
  </si>
  <si>
    <t>2025S1121117117</t>
  </si>
  <si>
    <t>2025S1122119119</t>
  </si>
  <si>
    <t>2025S1123138138</t>
  </si>
  <si>
    <t>2025S1124164164</t>
  </si>
  <si>
    <t>2025S1125120120</t>
  </si>
  <si>
    <t>2025S1126139139</t>
  </si>
  <si>
    <t>2025S1127123123</t>
  </si>
  <si>
    <t>2025S1128121121</t>
  </si>
  <si>
    <t>2025S1129165165</t>
  </si>
  <si>
    <t>2025S1130122122</t>
  </si>
  <si>
    <t>2025S1131124124</t>
  </si>
  <si>
    <t>2025S1132140140</t>
  </si>
  <si>
    <t>2025S1133129129</t>
  </si>
  <si>
    <t>2025S1134135135</t>
  </si>
  <si>
    <t>2025S1135166166</t>
  </si>
  <si>
    <t>2025S1136145145</t>
  </si>
  <si>
    <t>2025S1137130130</t>
  </si>
  <si>
    <t>2025S1138136136</t>
  </si>
  <si>
    <t>2025S1139131131</t>
  </si>
  <si>
    <t>2025S1140125125</t>
  </si>
  <si>
    <t>2025S1141126126</t>
  </si>
  <si>
    <t>2025S1142127127</t>
  </si>
  <si>
    <t>2025S1143132132</t>
  </si>
  <si>
    <t>2025S1144137137</t>
  </si>
  <si>
    <t>2025S1145141141</t>
  </si>
  <si>
    <t>2025S1146144144</t>
  </si>
  <si>
    <t>2025S1147146146</t>
  </si>
  <si>
    <t>2025S1148128128</t>
  </si>
  <si>
    <t>2025S1149167167</t>
  </si>
  <si>
    <t>2025S1150147147</t>
  </si>
  <si>
    <t>2025S1151168168</t>
  </si>
  <si>
    <t>2025S1152148148</t>
  </si>
  <si>
    <t>2025S1153142142</t>
  </si>
  <si>
    <t>2025S1154149149</t>
  </si>
  <si>
    <t>2025S1155150150</t>
  </si>
  <si>
    <t>2025S1156169169</t>
  </si>
  <si>
    <t>2025S1157170170</t>
  </si>
  <si>
    <t>2025S1158133133</t>
  </si>
  <si>
    <t>2025S1159143143</t>
  </si>
  <si>
    <t>2025S1160151151</t>
  </si>
  <si>
    <t>2025S1161182182</t>
  </si>
  <si>
    <t>2025S1162153153</t>
  </si>
  <si>
    <t>2025S1163159159</t>
  </si>
  <si>
    <t>2025S1164154154</t>
  </si>
  <si>
    <t>2025S1165152152</t>
  </si>
  <si>
    <t>2025S1166155155</t>
  </si>
  <si>
    <t>2025S1167156156</t>
  </si>
  <si>
    <t>2025S1168157157</t>
  </si>
  <si>
    <t>2025S1169158158</t>
  </si>
  <si>
    <t>2025S1170191191</t>
  </si>
  <si>
    <t>2025S1171134134</t>
  </si>
  <si>
    <t>2025S1172204204</t>
  </si>
  <si>
    <t>2025S1173171171</t>
  </si>
  <si>
    <t>2025S1174183183</t>
  </si>
  <si>
    <t>2025S1175205205</t>
  </si>
  <si>
    <t>2025S1176160160</t>
  </si>
  <si>
    <t>2025S1177184184</t>
  </si>
  <si>
    <t>2025S1178206206</t>
  </si>
  <si>
    <t>2025S1179176176</t>
  </si>
  <si>
    <t>2025S1180192192</t>
  </si>
  <si>
    <t>2025S1181177177</t>
  </si>
  <si>
    <t>2025S1182185185</t>
  </si>
  <si>
    <t>2025S1183186186</t>
  </si>
  <si>
    <t>2025S1184193193</t>
  </si>
  <si>
    <t>2025S1185178178</t>
  </si>
  <si>
    <t>2025S1186207207</t>
  </si>
  <si>
    <t>2025S1187194194</t>
  </si>
  <si>
    <t>2025S1188179179</t>
  </si>
  <si>
    <t>2025S1189187187</t>
  </si>
  <si>
    <t>2025S1190195195</t>
  </si>
  <si>
    <t>2025S1191180180</t>
  </si>
  <si>
    <t>2025S1192208208</t>
  </si>
  <si>
    <t>2025S1193196196</t>
  </si>
  <si>
    <t>2025S1194209209</t>
  </si>
  <si>
    <t>2025S1195210210</t>
  </si>
  <si>
    <t>2025S1196211211</t>
  </si>
  <si>
    <t>2025S1197212212</t>
  </si>
  <si>
    <t>2025S1198197197</t>
  </si>
  <si>
    <t>2025S1199172172</t>
  </si>
  <si>
    <t>2025S1200213213</t>
  </si>
  <si>
    <t>2025S1201198198</t>
  </si>
  <si>
    <t>2025S1202188188</t>
  </si>
  <si>
    <t>2025S1203173173</t>
  </si>
  <si>
    <t>2025S1204214214</t>
  </si>
  <si>
    <t>2025S1205199199</t>
  </si>
  <si>
    <t>2025S1206189189</t>
  </si>
  <si>
    <t>2025S1207190190</t>
  </si>
  <si>
    <t>2025S1208200200</t>
  </si>
  <si>
    <t>2025S1209181181</t>
  </si>
  <si>
    <t>2025S1210175175</t>
  </si>
  <si>
    <t>2025S1211174174</t>
  </si>
  <si>
    <t>2025S1212201201</t>
  </si>
  <si>
    <t>2025S1213202202</t>
  </si>
  <si>
    <t>2025S1214203203</t>
  </si>
  <si>
    <t>2025S1215215215</t>
  </si>
  <si>
    <t>2025S1216216216</t>
  </si>
  <si>
    <t>2025S1217217217</t>
  </si>
  <si>
    <t>2025S1218222222</t>
  </si>
  <si>
    <t>2025S1219220220</t>
  </si>
  <si>
    <t>2025S1220221221</t>
  </si>
  <si>
    <t>2025S1221223223</t>
  </si>
  <si>
    <t>2025S1222218218</t>
  </si>
  <si>
    <t>2025S1223219219</t>
  </si>
  <si>
    <t>Zadání:
Pracujete ve společnosti, jenž se zabývá prodejem drogistického zboží, jedna z divizí se zaměřuje na prodej  sprchových gelů z přírodních látek a to prostřednictvím speciálních prodejců.
Firma uvedla oficiálně 1.9.2025 na trh nový produkt sprchový gel "SG-III", jenž je založen na předcházejícím produktu z řady SG tedy sprchovém gelu "SG-II" s tím, že v sobě obsahuje nové vitamíny. 
Ve vaší společnosti není ve zvyku nastavovat na první měsíc prodejní plány, ale očekává se, že každý obchodník má alespoň jeden prodej (minimálně pro sebe, aby věděl jak nový výrobek funguje) za první měsíc. Tedy plán na první měsíc prodeje je roven počtu obchodníků. 
Dnes odpoledne (5.10.2025) je pravidelná měsíční porada regionálních manažerů, kde se budou procházet prodejní výsledky za uplynulý měsíc, tedy za měsíc září 2025. Od vás se očekává krátký (max. 5 minut) vstup, kdy odprezentujete jen základní výsledky prodeje nového produktu Sprchového gelu SG-III.</t>
  </si>
  <si>
    <t>Zounar</t>
  </si>
  <si>
    <t>Malina</t>
  </si>
  <si>
    <t>Macátko</t>
  </si>
  <si>
    <t>Beneš</t>
  </si>
  <si>
    <t>Sklenář</t>
  </si>
  <si>
    <t>Úředník</t>
  </si>
  <si>
    <t>Medvídek</t>
  </si>
  <si>
    <t>Fišer</t>
  </si>
  <si>
    <t>nástup</t>
  </si>
  <si>
    <t>400 ml</t>
  </si>
  <si>
    <t>450 ml</t>
  </si>
  <si>
    <t xml:space="preserve">Pavelka </t>
  </si>
  <si>
    <t>Rezek</t>
  </si>
  <si>
    <t>Smolař</t>
  </si>
  <si>
    <t>Kráska</t>
  </si>
  <si>
    <t>Panenka</t>
  </si>
  <si>
    <t>Bubeníček</t>
  </si>
  <si>
    <t>Gudas</t>
  </si>
  <si>
    <t>Žídek</t>
  </si>
  <si>
    <t>Wolf</t>
  </si>
  <si>
    <t>Morris</t>
  </si>
  <si>
    <t>P157</t>
  </si>
  <si>
    <t>P145</t>
  </si>
  <si>
    <t>P059</t>
  </si>
  <si>
    <t>P106</t>
  </si>
  <si>
    <t>P205</t>
  </si>
  <si>
    <t>P099</t>
  </si>
  <si>
    <t>P123</t>
  </si>
  <si>
    <t>P321</t>
  </si>
  <si>
    <t>P278</t>
  </si>
  <si>
    <t>P064</t>
  </si>
  <si>
    <t>Sprchový gel</t>
  </si>
  <si>
    <t>SG-III</t>
  </si>
  <si>
    <t>Prodejní cena</t>
  </si>
  <si>
    <t>Jméno prodejce</t>
  </si>
  <si>
    <t>Region prodejce</t>
  </si>
  <si>
    <t>nástup dřív než 1. září</t>
  </si>
  <si>
    <t>Duplicitní hodnoty, jednu smažu, protože je to duplicitní hodnota jednoho prodejce ve stejný den</t>
  </si>
  <si>
    <t>Pokud by to byly 2 prodeje, musel by být jiný ID prodeje.</t>
  </si>
  <si>
    <t>za šampon SG III</t>
  </si>
  <si>
    <t>Popisky řádků</t>
  </si>
  <si>
    <t>Celkový součet</t>
  </si>
  <si>
    <t>Součet z Ks</t>
  </si>
  <si>
    <t>Popisky sloupců</t>
  </si>
  <si>
    <t>(Více položek)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</si>
</sst>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0\ &quot;Kč&quot;;[Red]\-#,##0\ &quot;Kč&quot;"/>
    <numFmt numFmtId="167" formatCode="#,##0\ &quot;Kč&quot;"/>
  </numFmts>
  <fonts count="4" x14ac:knownFonts="1">
    <font>
      <sz val="11"/>
      <color theme="1"/>
      <name val="Calibri"/>
      <family val="2"/>
      <charset val="238"/>
      <scheme val="minor"/>
    </font>
    <font>
      <sz val="8"/>
      <name val="Calibri"/>
      <family val="2"/>
      <charset val="238"/>
      <scheme val="minor"/>
    </font>
    <font>
      <b/>
      <sz val="11"/>
      <color theme="1"/>
      <name val="Calibri"/>
      <family val="2"/>
      <charset val="238"/>
      <scheme val="minor"/>
    </font>
    <font>
      <sz val="18"/>
      <color theme="1"/>
      <name val="Calibri"/>
      <family val="2"/>
      <charset val="238"/>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14" fontId="0" fillId="0" borderId="0" xfId="0" applyNumberFormat="1"/>
    <xf numFmtId="9" fontId="0" fillId="0" borderId="0" xfId="0" applyNumberFormat="1"/>
    <xf numFmtId="0" fontId="2" fillId="0" borderId="0" xfId="0" applyFont="1"/>
    <xf numFmtId="0" fontId="2" fillId="0" borderId="1" xfId="0" applyFont="1" applyBorder="1"/>
    <xf numFmtId="6" fontId="0" fillId="0" borderId="0" xfId="0" applyNumberFormat="1"/>
    <xf numFmtId="0" fontId="0" fillId="0" borderId="1" xfId="0" applyBorder="1"/>
    <xf numFmtId="0" fontId="0" fillId="2" borderId="0" xfId="0" applyFill="1"/>
    <xf numFmtId="0" fontId="3" fillId="0" borderId="0" xfId="0" applyFont="1"/>
    <xf numFmtId="0" fontId="3" fillId="0" borderId="0" xfId="0" applyFont="1" applyAlignment="1">
      <alignment horizontal="left" wrapText="1"/>
    </xf>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applyBorder="1"/>
  </cellXfs>
  <cellStyles count="1">
    <cellStyle name="Normální" xfId="0" builtinId="0"/>
  </cellStyles>
  <dxfs count="16">
    <dxf>
      <numFmt numFmtId="0" formatCode="General"/>
    </dxf>
    <dxf>
      <numFmt numFmtId="0" formatCode="General"/>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0" formatCode="#,##0\ &quot;Kč&quot;;[Red]\-#,##0\ &quot;Kč&quot;"/>
    </dxf>
    <dxf>
      <numFmt numFmtId="10" formatCode="#,##0\ &quot;Kč&quot;;[Red]\-#,##0\ &quot;Kč&quot;"/>
    </dxf>
    <dxf>
      <numFmt numFmtId="19" formatCode="dd/mm/yyyy"/>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border diagonalUp="0" diagonalDown="0">
        <left/>
        <right/>
        <top/>
        <bottom style="thin">
          <color theme="4" tint="0.39997558519241921"/>
        </bottom>
        <vertical/>
        <horizontal/>
      </border>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ndřej Švorc" refreshedDate="46038.722101388892" createdVersion="8" refreshedVersion="8" minRefreshableVersion="3" recordCount="319" xr:uid="{B89BEEAB-487F-47E0-991E-DEF877292198}">
  <cacheSource type="worksheet">
    <worksheetSource name="Prodeje"/>
  </cacheSource>
  <cacheFields count="7">
    <cacheField name="Datum" numFmtId="14">
      <sharedItems containsNonDate="0" containsDate="1" containsString="0" containsBlank="1" minDate="2025-07-01T00:00:00" maxDate="2025-10-05T00:00:00" count="88">
        <d v="2025-08-01T00:00:00"/>
        <d v="2025-07-01T00:00:00"/>
        <d v="2025-08-09T00:00:00"/>
        <d v="2025-07-09T00:00:00"/>
        <d v="2025-08-10T00:00:00"/>
        <d v="2025-07-10T00:00:00"/>
        <d v="2025-09-10T00:00:00"/>
        <d v="2025-07-15T00:00:00"/>
        <d v="2025-09-14T00:00:00"/>
        <d v="2025-08-15T00:00:00"/>
        <m/>
        <d v="2025-07-20T00:00:00"/>
        <d v="2025-09-20T00:00:00"/>
        <d v="2025-08-20T00:00:00"/>
        <d v="2025-07-18T00:00:00"/>
        <d v="2025-09-18T00:00:00"/>
        <d v="2025-09-15T00:00:00"/>
        <d v="2025-08-18T00:00:00"/>
        <d v="2025-07-23T00:00:00"/>
        <d v="2025-08-23T00:00:00"/>
        <d v="2025-08-06T00:00:00"/>
        <d v="2025-07-06T00:00:00"/>
        <d v="2025-08-07T00:00:00"/>
        <d v="2025-07-07T00:00:00"/>
        <d v="2025-08-08T00:00:00"/>
        <d v="2025-07-08T00:00:00"/>
        <d v="2025-07-24T00:00:00"/>
        <d v="2025-08-24T00:00:00"/>
        <d v="2025-07-28T00:00:00"/>
        <d v="2025-08-28T00:00:00"/>
        <d v="2025-08-04T00:00:00"/>
        <d v="2025-07-04T00:00:00"/>
        <d v="2025-07-14T00:00:00"/>
        <d v="2025-08-14T00:00:00"/>
        <d v="2025-07-25T00:00:00"/>
        <d v="2025-08-25T00:00:00"/>
        <d v="2025-09-23T00:00:00"/>
        <d v="2025-07-19T00:00:00"/>
        <d v="2025-08-19T00:00:00"/>
        <d v="2025-07-21T00:00:00"/>
        <d v="2025-08-21T00:00:00"/>
        <d v="2025-07-30T00:00:00"/>
        <d v="2025-09-30T00:00:00"/>
        <d v="2025-08-30T00:00:00"/>
        <d v="2025-07-02T00:00:00"/>
        <d v="2025-08-02T00:00:00"/>
        <d v="2025-07-03T00:00:00"/>
        <d v="2025-08-03T00:00:00"/>
        <d v="2025-08-12T00:00:00"/>
        <d v="2025-07-12T00:00:00"/>
        <d v="2025-09-21T00:00:00"/>
        <d v="2025-09-12T00:00:00"/>
        <d v="2025-07-13T00:00:00"/>
        <d v="2025-08-13T00:00:00"/>
        <d v="2025-07-22T00:00:00"/>
        <d v="2025-09-13T00:00:00"/>
        <d v="2025-08-22T00:00:00"/>
        <d v="2025-09-22T00:00:00"/>
        <d v="2025-07-16T00:00:00"/>
        <d v="2025-08-16T00:00:00"/>
        <d v="2025-09-28T00:00:00"/>
        <d v="2025-09-19T00:00:00"/>
        <d v="2025-07-27T00:00:00"/>
        <d v="2025-08-27T00:00:00"/>
        <d v="2025-09-16T00:00:00"/>
        <d v="2025-07-17T00:00:00"/>
        <d v="2025-08-17T00:00:00"/>
        <d v="2025-07-26T00:00:00"/>
        <d v="2025-08-26T00:00:00"/>
        <d v="2025-09-17T00:00:00"/>
        <d v="2025-09-02T00:00:00"/>
        <d v="2025-09-03T00:00:00"/>
        <d v="2025-09-04T00:00:00"/>
        <d v="2025-09-08T00:00:00"/>
        <d v="2025-09-06T00:00:00"/>
        <d v="2025-09-29T00:00:00"/>
        <d v="2025-09-25T00:00:00"/>
        <d v="2025-07-29T00:00:00"/>
        <d v="2025-10-02T00:00:00"/>
        <d v="2025-08-05T00:00:00"/>
        <d v="2025-10-03T00:00:00"/>
        <d v="2025-10-04T00:00:00"/>
        <d v="2025-09-11T00:00:00"/>
        <d v="2025-09-27T00:00:00"/>
        <d v="2025-09-26T00:00:00"/>
        <d v="2025-09-24T00:00:00"/>
        <d v="2025-08-29T00:00:00"/>
        <d v="2025-09-01T00:00:00"/>
      </sharedItems>
    </cacheField>
    <cacheField name="ID prodeje" numFmtId="0">
      <sharedItems containsBlank="1"/>
    </cacheField>
    <cacheField name="Produkt" numFmtId="0">
      <sharedItems containsBlank="1" count="4">
        <s v="SG-II"/>
        <s v="SG III"/>
        <m/>
        <s v="SG-I"/>
      </sharedItems>
    </cacheField>
    <cacheField name="Prodejce" numFmtId="0">
      <sharedItems containsBlank="1" count="24">
        <s v="P023"/>
        <s v="P031"/>
        <s v="P032"/>
        <s v="P037"/>
        <s v="P072"/>
        <m/>
        <s v="P040"/>
        <s v="P043"/>
        <s v="P301"/>
        <s v="P058"/>
        <s v="P063"/>
        <s v="P112"/>
        <s v="P555"/>
        <s v="P073"/>
        <s v="P044"/>
        <s v="P111"/>
        <s v="P127"/>
        <s v="P136"/>
        <s v="P356"/>
        <s v="P222"/>
        <s v="P352"/>
        <s v="P360"/>
        <s v="P223"/>
        <s v="P220"/>
      </sharedItems>
    </cacheField>
    <cacheField name="Ks" numFmtId="0">
      <sharedItems containsString="0" containsBlank="1" containsNumber="1" containsInteger="1" minValue="1" maxValue="3"/>
    </cacheField>
    <cacheField name="Jméno prodejce" numFmtId="0">
      <sharedItems containsBlank="1" count="24">
        <s v="Novák"/>
        <s v="Vodička"/>
        <s v="Veselovský"/>
        <s v="Trlík"/>
        <s v="Sklenář"/>
        <m/>
        <s v="Bouše"/>
        <s v="Náhlá"/>
        <s v="Koutník"/>
        <s v="Fišer"/>
        <s v="Zounar"/>
        <s v="Nebohý"/>
        <s v="Jarník"/>
        <s v="Kovaříček"/>
        <s v="Holý"/>
        <s v="Havelka"/>
        <s v="Koutný"/>
        <s v="Nováček"/>
        <s v="Brumbla"/>
        <s v="Jemný"/>
        <s v="Vonková"/>
        <s v="Kapřík"/>
        <s v="Adamek"/>
        <s v="Hrubá"/>
      </sharedItems>
    </cacheField>
    <cacheField name="Region prodejce" numFmtId="0">
      <sharedItems containsBlank="1" count="6">
        <s v="Západní Čechy"/>
        <s v="Severní Čechy"/>
        <s v="Praha"/>
        <m/>
        <s v="Jižní Čechy"/>
        <s v="Východní Čech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x v="0"/>
    <s v="2025S100111"/>
    <x v="0"/>
    <x v="0"/>
    <n v="1"/>
    <x v="0"/>
    <x v="0"/>
  </r>
  <r>
    <x v="1"/>
    <s v="2025S1001224224"/>
    <x v="0"/>
    <x v="0"/>
    <n v="1"/>
    <x v="0"/>
    <x v="0"/>
  </r>
  <r>
    <x v="0"/>
    <s v="2025S100222"/>
    <x v="0"/>
    <x v="1"/>
    <n v="1"/>
    <x v="1"/>
    <x v="1"/>
  </r>
  <r>
    <x v="1"/>
    <s v="2025S1002225225"/>
    <x v="0"/>
    <x v="1"/>
    <n v="1"/>
    <x v="1"/>
    <x v="1"/>
  </r>
  <r>
    <x v="2"/>
    <s v="2025S10032121"/>
    <x v="0"/>
    <x v="1"/>
    <n v="1"/>
    <x v="1"/>
    <x v="1"/>
  </r>
  <r>
    <x v="3"/>
    <s v="2025S1003244244"/>
    <x v="0"/>
    <x v="1"/>
    <n v="1"/>
    <x v="1"/>
    <x v="1"/>
  </r>
  <r>
    <x v="4"/>
    <s v="2025S10042222"/>
    <x v="0"/>
    <x v="2"/>
    <n v="1"/>
    <x v="2"/>
    <x v="2"/>
  </r>
  <r>
    <x v="5"/>
    <s v="2025S1004245245"/>
    <x v="0"/>
    <x v="2"/>
    <n v="1"/>
    <x v="2"/>
    <x v="2"/>
  </r>
  <r>
    <x v="6"/>
    <s v="2025S1004299299"/>
    <x v="1"/>
    <x v="2"/>
    <n v="1"/>
    <x v="2"/>
    <x v="2"/>
  </r>
  <r>
    <x v="7"/>
    <s v="2025S1005258258"/>
    <x v="0"/>
    <x v="3"/>
    <n v="1"/>
    <x v="3"/>
    <x v="2"/>
  </r>
  <r>
    <x v="8"/>
    <s v="2025S1022309309"/>
    <x v="1"/>
    <x v="4"/>
    <n v="1"/>
    <x v="4"/>
    <x v="2"/>
  </r>
  <r>
    <x v="9"/>
    <s v="2025S10053535"/>
    <x v="0"/>
    <x v="3"/>
    <n v="1"/>
    <x v="3"/>
    <x v="2"/>
  </r>
  <r>
    <x v="10"/>
    <m/>
    <x v="2"/>
    <x v="5"/>
    <m/>
    <x v="5"/>
    <x v="3"/>
  </r>
  <r>
    <x v="11"/>
    <s v="2025S1006268268"/>
    <x v="0"/>
    <x v="3"/>
    <n v="2"/>
    <x v="3"/>
    <x v="2"/>
  </r>
  <r>
    <x v="12"/>
    <s v="2025S1006288288"/>
    <x v="1"/>
    <x v="3"/>
    <n v="2"/>
    <x v="3"/>
    <x v="2"/>
  </r>
  <r>
    <x v="13"/>
    <s v="2025S10064545"/>
    <x v="0"/>
    <x v="3"/>
    <n v="1"/>
    <x v="3"/>
    <x v="2"/>
  </r>
  <r>
    <x v="14"/>
    <s v="2025S1007262262"/>
    <x v="0"/>
    <x v="6"/>
    <n v="1"/>
    <x v="6"/>
    <x v="1"/>
  </r>
  <r>
    <x v="15"/>
    <s v="2025S1007282282"/>
    <x v="1"/>
    <x v="6"/>
    <n v="1"/>
    <x v="6"/>
    <x v="1"/>
  </r>
  <r>
    <x v="16"/>
    <s v="2025S1005312312"/>
    <x v="1"/>
    <x v="3"/>
    <n v="1"/>
    <x v="3"/>
    <x v="2"/>
  </r>
  <r>
    <x v="17"/>
    <s v="2025S10073939"/>
    <x v="0"/>
    <x v="6"/>
    <n v="1"/>
    <x v="6"/>
    <x v="1"/>
  </r>
  <r>
    <x v="14"/>
    <s v="2025S1008263263"/>
    <x v="0"/>
    <x v="6"/>
    <n v="1"/>
    <x v="6"/>
    <x v="1"/>
  </r>
  <r>
    <x v="14"/>
    <s v="2025S1008283283"/>
    <x v="0"/>
    <x v="6"/>
    <n v="1"/>
    <x v="6"/>
    <x v="1"/>
  </r>
  <r>
    <x v="17"/>
    <s v="2025S10084040"/>
    <x v="0"/>
    <x v="6"/>
    <n v="1"/>
    <x v="6"/>
    <x v="1"/>
  </r>
  <r>
    <x v="18"/>
    <s v="2025S1009273273"/>
    <x v="0"/>
    <x v="6"/>
    <n v="2"/>
    <x v="6"/>
    <x v="1"/>
  </r>
  <r>
    <x v="10"/>
    <m/>
    <x v="2"/>
    <x v="5"/>
    <m/>
    <x v="5"/>
    <x v="3"/>
  </r>
  <r>
    <x v="19"/>
    <s v="2025S10095050"/>
    <x v="0"/>
    <x v="6"/>
    <n v="1"/>
    <x v="6"/>
    <x v="1"/>
  </r>
  <r>
    <x v="20"/>
    <s v="2025S10101313"/>
    <x v="0"/>
    <x v="6"/>
    <n v="1"/>
    <x v="6"/>
    <x v="1"/>
  </r>
  <r>
    <x v="21"/>
    <s v="2025S1010236236"/>
    <x v="0"/>
    <x v="6"/>
    <n v="1"/>
    <x v="6"/>
    <x v="1"/>
  </r>
  <r>
    <x v="22"/>
    <s v="2025S10111515"/>
    <x v="0"/>
    <x v="7"/>
    <n v="2"/>
    <x v="7"/>
    <x v="4"/>
  </r>
  <r>
    <x v="23"/>
    <s v="2025S1011238238"/>
    <x v="0"/>
    <x v="7"/>
    <n v="1"/>
    <x v="7"/>
    <x v="4"/>
  </r>
  <r>
    <x v="24"/>
    <s v="2025S10121616"/>
    <x v="0"/>
    <x v="7"/>
    <n v="1"/>
    <x v="7"/>
    <x v="4"/>
  </r>
  <r>
    <x v="25"/>
    <s v="2025S1012239239"/>
    <x v="0"/>
    <x v="7"/>
    <n v="1"/>
    <x v="7"/>
    <x v="4"/>
  </r>
  <r>
    <x v="4"/>
    <s v="2025S10132323"/>
    <x v="0"/>
    <x v="7"/>
    <n v="1"/>
    <x v="7"/>
    <x v="4"/>
  </r>
  <r>
    <x v="5"/>
    <s v="2025S1013246246"/>
    <x v="0"/>
    <x v="7"/>
    <n v="2"/>
    <x v="7"/>
    <x v="4"/>
  </r>
  <r>
    <x v="4"/>
    <s v="2025S1013300300"/>
    <x v="0"/>
    <x v="7"/>
    <n v="2"/>
    <x v="7"/>
    <x v="4"/>
  </r>
  <r>
    <x v="26"/>
    <s v="2025S1014274274"/>
    <x v="0"/>
    <x v="8"/>
    <n v="1"/>
    <x v="8"/>
    <x v="5"/>
  </r>
  <r>
    <x v="27"/>
    <s v="2025S10145151"/>
    <x v="0"/>
    <x v="8"/>
    <n v="1"/>
    <x v="8"/>
    <x v="5"/>
  </r>
  <r>
    <x v="28"/>
    <s v="2025S1015278278"/>
    <x v="0"/>
    <x v="7"/>
    <n v="1"/>
    <x v="7"/>
    <x v="4"/>
  </r>
  <r>
    <x v="29"/>
    <s v="2025S1015295295"/>
    <x v="0"/>
    <x v="7"/>
    <n v="1"/>
    <x v="7"/>
    <x v="4"/>
  </r>
  <r>
    <x v="29"/>
    <s v="2025S10155555"/>
    <x v="0"/>
    <x v="7"/>
    <n v="1"/>
    <x v="7"/>
    <x v="4"/>
  </r>
  <r>
    <x v="30"/>
    <s v="2025S10161010"/>
    <x v="0"/>
    <x v="9"/>
    <n v="2"/>
    <x v="9"/>
    <x v="2"/>
  </r>
  <r>
    <x v="31"/>
    <s v="2025S1016233233"/>
    <x v="0"/>
    <x v="9"/>
    <n v="1"/>
    <x v="9"/>
    <x v="2"/>
  </r>
  <r>
    <x v="32"/>
    <s v="2025S1017253253"/>
    <x v="0"/>
    <x v="9"/>
    <n v="1"/>
    <x v="9"/>
    <x v="2"/>
  </r>
  <r>
    <x v="33"/>
    <s v="2025S10173030"/>
    <x v="0"/>
    <x v="9"/>
    <n v="1"/>
    <x v="9"/>
    <x v="2"/>
  </r>
  <r>
    <x v="32"/>
    <s v="2025S1017307307"/>
    <x v="0"/>
    <x v="9"/>
    <n v="1"/>
    <x v="9"/>
    <x v="2"/>
  </r>
  <r>
    <x v="24"/>
    <s v="2025S10181717"/>
    <x v="0"/>
    <x v="10"/>
    <n v="1"/>
    <x v="10"/>
    <x v="2"/>
  </r>
  <r>
    <x v="25"/>
    <s v="2025S1018240240"/>
    <x v="0"/>
    <x v="10"/>
    <n v="1"/>
    <x v="10"/>
    <x v="2"/>
  </r>
  <r>
    <x v="34"/>
    <s v="2025S1019275275"/>
    <x v="0"/>
    <x v="10"/>
    <n v="1"/>
    <x v="10"/>
    <x v="2"/>
  </r>
  <r>
    <x v="35"/>
    <s v="2025S10195252"/>
    <x v="0"/>
    <x v="10"/>
    <n v="1"/>
    <x v="10"/>
    <x v="2"/>
  </r>
  <r>
    <x v="24"/>
    <s v="2025S10201818"/>
    <x v="0"/>
    <x v="4"/>
    <n v="1"/>
    <x v="4"/>
    <x v="2"/>
  </r>
  <r>
    <x v="25"/>
    <s v="2025S1020241241"/>
    <x v="0"/>
    <x v="4"/>
    <n v="1"/>
    <x v="4"/>
    <x v="2"/>
  </r>
  <r>
    <x v="32"/>
    <s v="2025S1021254254"/>
    <x v="0"/>
    <x v="4"/>
    <n v="1"/>
    <x v="4"/>
    <x v="2"/>
  </r>
  <r>
    <x v="15"/>
    <s v="2025S1007316316"/>
    <x v="0"/>
    <x v="6"/>
    <n v="1"/>
    <x v="6"/>
    <x v="1"/>
  </r>
  <r>
    <x v="33"/>
    <s v="2025S10213131"/>
    <x v="0"/>
    <x v="4"/>
    <n v="1"/>
    <x v="4"/>
    <x v="2"/>
  </r>
  <r>
    <x v="32"/>
    <s v="2025S1022255255"/>
    <x v="0"/>
    <x v="4"/>
    <n v="1"/>
    <x v="4"/>
    <x v="2"/>
  </r>
  <r>
    <x v="36"/>
    <s v="2025S1009293293"/>
    <x v="0"/>
    <x v="6"/>
    <n v="1"/>
    <x v="6"/>
    <x v="1"/>
  </r>
  <r>
    <x v="33"/>
    <s v="2025S10223232"/>
    <x v="0"/>
    <x v="4"/>
    <n v="2"/>
    <x v="4"/>
    <x v="2"/>
  </r>
  <r>
    <x v="37"/>
    <s v="2025S1023266266"/>
    <x v="0"/>
    <x v="4"/>
    <n v="1"/>
    <x v="4"/>
    <x v="2"/>
  </r>
  <r>
    <x v="38"/>
    <s v="2025S1023286286"/>
    <x v="0"/>
    <x v="4"/>
    <n v="1"/>
    <x v="4"/>
    <x v="2"/>
  </r>
  <r>
    <x v="38"/>
    <s v="2025S10234343"/>
    <x v="0"/>
    <x v="4"/>
    <n v="1"/>
    <x v="4"/>
    <x v="2"/>
  </r>
  <r>
    <x v="39"/>
    <s v="2025S1024269269"/>
    <x v="0"/>
    <x v="11"/>
    <n v="1"/>
    <x v="11"/>
    <x v="2"/>
  </r>
  <r>
    <x v="8"/>
    <s v="2025S1021308308"/>
    <x v="0"/>
    <x v="4"/>
    <n v="1"/>
    <x v="4"/>
    <x v="2"/>
  </r>
  <r>
    <x v="40"/>
    <s v="2025S10244646"/>
    <x v="0"/>
    <x v="11"/>
    <n v="1"/>
    <x v="11"/>
    <x v="2"/>
  </r>
  <r>
    <x v="41"/>
    <s v="2025S1025280280"/>
    <x v="0"/>
    <x v="4"/>
    <n v="1"/>
    <x v="4"/>
    <x v="2"/>
  </r>
  <r>
    <x v="42"/>
    <s v="2025S1025297297"/>
    <x v="1"/>
    <x v="4"/>
    <n v="1"/>
    <x v="4"/>
    <x v="2"/>
  </r>
  <r>
    <x v="43"/>
    <s v="2025S10255757"/>
    <x v="1"/>
    <x v="4"/>
    <n v="1"/>
    <x v="4"/>
    <x v="2"/>
  </r>
  <r>
    <x v="44"/>
    <s v="2025S1026226226"/>
    <x v="0"/>
    <x v="12"/>
    <n v="1"/>
    <x v="12"/>
    <x v="2"/>
  </r>
  <r>
    <x v="45"/>
    <s v="2025S102633"/>
    <x v="0"/>
    <x v="12"/>
    <n v="1"/>
    <x v="12"/>
    <x v="2"/>
  </r>
  <r>
    <x v="44"/>
    <s v="2025S1027227227"/>
    <x v="0"/>
    <x v="4"/>
    <n v="2"/>
    <x v="4"/>
    <x v="2"/>
  </r>
  <r>
    <x v="45"/>
    <s v="2025S102744"/>
    <x v="0"/>
    <x v="4"/>
    <n v="1"/>
    <x v="4"/>
    <x v="2"/>
  </r>
  <r>
    <x v="46"/>
    <s v="2025S1028232232"/>
    <x v="0"/>
    <x v="4"/>
    <n v="1"/>
    <x v="4"/>
    <x v="2"/>
  </r>
  <r>
    <x v="47"/>
    <s v="2025S102899"/>
    <x v="0"/>
    <x v="4"/>
    <n v="1"/>
    <x v="4"/>
    <x v="2"/>
  </r>
  <r>
    <x v="30"/>
    <s v="2025S10291111"/>
    <x v="0"/>
    <x v="4"/>
    <n v="1"/>
    <x v="4"/>
    <x v="2"/>
  </r>
  <r>
    <x v="31"/>
    <s v="2025S1029234234"/>
    <x v="0"/>
    <x v="4"/>
    <n v="1"/>
    <x v="4"/>
    <x v="2"/>
  </r>
  <r>
    <x v="30"/>
    <s v="2025S10301212"/>
    <x v="0"/>
    <x v="4"/>
    <n v="1"/>
    <x v="4"/>
    <x v="2"/>
  </r>
  <r>
    <x v="31"/>
    <s v="2025S1030235235"/>
    <x v="0"/>
    <x v="4"/>
    <n v="2"/>
    <x v="4"/>
    <x v="2"/>
  </r>
  <r>
    <x v="24"/>
    <s v="2025S10311919"/>
    <x v="0"/>
    <x v="4"/>
    <n v="1"/>
    <x v="4"/>
    <x v="2"/>
  </r>
  <r>
    <x v="25"/>
    <s v="2025S1031242242"/>
    <x v="0"/>
    <x v="4"/>
    <n v="1"/>
    <x v="4"/>
    <x v="2"/>
  </r>
  <r>
    <x v="48"/>
    <s v="2025S10322424"/>
    <x v="0"/>
    <x v="4"/>
    <n v="1"/>
    <x v="4"/>
    <x v="2"/>
  </r>
  <r>
    <x v="49"/>
    <s v="2025S1032247247"/>
    <x v="3"/>
    <x v="4"/>
    <n v="1"/>
    <x v="4"/>
    <x v="2"/>
  </r>
  <r>
    <x v="50"/>
    <s v="2025S1024289289"/>
    <x v="0"/>
    <x v="11"/>
    <n v="1"/>
    <x v="11"/>
    <x v="2"/>
  </r>
  <r>
    <x v="49"/>
    <s v="2025S1033248248"/>
    <x v="0"/>
    <x v="4"/>
    <n v="1"/>
    <x v="4"/>
    <x v="2"/>
  </r>
  <r>
    <x v="48"/>
    <s v="2025S10332525"/>
    <x v="0"/>
    <x v="4"/>
    <n v="1"/>
    <x v="4"/>
    <x v="2"/>
  </r>
  <r>
    <x v="51"/>
    <s v="2025S1032301301"/>
    <x v="0"/>
    <x v="4"/>
    <n v="1"/>
    <x v="4"/>
    <x v="2"/>
  </r>
  <r>
    <x v="52"/>
    <s v="2025S1034252252"/>
    <x v="0"/>
    <x v="4"/>
    <n v="1"/>
    <x v="4"/>
    <x v="2"/>
  </r>
  <r>
    <x v="53"/>
    <s v="2025S10342929"/>
    <x v="0"/>
    <x v="4"/>
    <n v="1"/>
    <x v="4"/>
    <x v="2"/>
  </r>
  <r>
    <x v="51"/>
    <s v="2025S1033302302"/>
    <x v="0"/>
    <x v="4"/>
    <n v="1"/>
    <x v="4"/>
    <x v="2"/>
  </r>
  <r>
    <x v="54"/>
    <s v="2025S1035270270"/>
    <x v="0"/>
    <x v="4"/>
    <n v="1"/>
    <x v="4"/>
    <x v="2"/>
  </r>
  <r>
    <x v="55"/>
    <s v="2025S1034306306"/>
    <x v="0"/>
    <x v="4"/>
    <n v="1"/>
    <x v="4"/>
    <x v="2"/>
  </r>
  <r>
    <x v="56"/>
    <s v="2025S10354747"/>
    <x v="3"/>
    <x v="4"/>
    <n v="2"/>
    <x v="4"/>
    <x v="2"/>
  </r>
  <r>
    <x v="20"/>
    <s v="2025S10361414"/>
    <x v="0"/>
    <x v="13"/>
    <n v="1"/>
    <x v="13"/>
    <x v="1"/>
  </r>
  <r>
    <x v="21"/>
    <s v="2025S1036237237"/>
    <x v="0"/>
    <x v="13"/>
    <n v="1"/>
    <x v="13"/>
    <x v="1"/>
  </r>
  <r>
    <x v="49"/>
    <s v="2025S1037249249"/>
    <x v="0"/>
    <x v="13"/>
    <n v="1"/>
    <x v="13"/>
    <x v="1"/>
  </r>
  <r>
    <x v="48"/>
    <s v="2025S10372626"/>
    <x v="0"/>
    <x v="13"/>
    <n v="1"/>
    <x v="13"/>
    <x v="1"/>
  </r>
  <r>
    <x v="57"/>
    <s v="2025S1035290290"/>
    <x v="0"/>
    <x v="4"/>
    <n v="1"/>
    <x v="4"/>
    <x v="2"/>
  </r>
  <r>
    <x v="58"/>
    <s v="2025S1038259259"/>
    <x v="0"/>
    <x v="13"/>
    <n v="1"/>
    <x v="13"/>
    <x v="1"/>
  </r>
  <r>
    <x v="58"/>
    <s v="2025S1038313313"/>
    <x v="0"/>
    <x v="13"/>
    <n v="1"/>
    <x v="13"/>
    <x v="1"/>
  </r>
  <r>
    <x v="59"/>
    <s v="2025S10383636"/>
    <x v="0"/>
    <x v="13"/>
    <n v="1"/>
    <x v="13"/>
    <x v="1"/>
  </r>
  <r>
    <x v="14"/>
    <s v="2025S1039264264"/>
    <x v="0"/>
    <x v="8"/>
    <n v="1"/>
    <x v="8"/>
    <x v="5"/>
  </r>
  <r>
    <x v="51"/>
    <s v="2025S1037303303"/>
    <x v="0"/>
    <x v="13"/>
    <n v="1"/>
    <x v="13"/>
    <x v="1"/>
  </r>
  <r>
    <x v="17"/>
    <s v="2025S10394141"/>
    <x v="3"/>
    <x v="8"/>
    <n v="1"/>
    <x v="8"/>
    <x v="5"/>
  </r>
  <r>
    <x v="41"/>
    <s v="2025S1040281281"/>
    <x v="0"/>
    <x v="13"/>
    <n v="1"/>
    <x v="13"/>
    <x v="1"/>
  </r>
  <r>
    <x v="43"/>
    <s v="2025S1040298298"/>
    <x v="0"/>
    <x v="13"/>
    <n v="1"/>
    <x v="13"/>
    <x v="1"/>
  </r>
  <r>
    <x v="43"/>
    <s v="2025S10405858"/>
    <x v="0"/>
    <x v="13"/>
    <n v="2"/>
    <x v="13"/>
    <x v="1"/>
  </r>
  <r>
    <x v="44"/>
    <s v="2025S1041228228"/>
    <x v="0"/>
    <x v="14"/>
    <n v="1"/>
    <x v="14"/>
    <x v="4"/>
  </r>
  <r>
    <x v="45"/>
    <s v="2025S104155"/>
    <x v="0"/>
    <x v="14"/>
    <n v="2"/>
    <x v="14"/>
    <x v="4"/>
  </r>
  <r>
    <x v="49"/>
    <s v="2025S1042250250"/>
    <x v="0"/>
    <x v="14"/>
    <n v="1"/>
    <x v="14"/>
    <x v="4"/>
  </r>
  <r>
    <x v="48"/>
    <s v="2025S10422727"/>
    <x v="0"/>
    <x v="14"/>
    <n v="1"/>
    <x v="14"/>
    <x v="4"/>
  </r>
  <r>
    <x v="15"/>
    <s v="2025S1039284284"/>
    <x v="0"/>
    <x v="8"/>
    <n v="1"/>
    <x v="8"/>
    <x v="5"/>
  </r>
  <r>
    <x v="28"/>
    <s v="2025S1043279279"/>
    <x v="0"/>
    <x v="14"/>
    <n v="1"/>
    <x v="14"/>
    <x v="4"/>
  </r>
  <r>
    <x v="60"/>
    <s v="2025S1043296296"/>
    <x v="1"/>
    <x v="14"/>
    <n v="1"/>
    <x v="14"/>
    <x v="4"/>
  </r>
  <r>
    <x v="29"/>
    <s v="2025S10435656"/>
    <x v="0"/>
    <x v="14"/>
    <n v="1"/>
    <x v="14"/>
    <x v="4"/>
  </r>
  <r>
    <x v="44"/>
    <s v="2025S1044229229"/>
    <x v="0"/>
    <x v="15"/>
    <n v="1"/>
    <x v="15"/>
    <x v="0"/>
  </r>
  <r>
    <x v="45"/>
    <s v="2025S104466"/>
    <x v="0"/>
    <x v="15"/>
    <n v="1"/>
    <x v="15"/>
    <x v="0"/>
  </r>
  <r>
    <x v="44"/>
    <s v="2025S1045230230"/>
    <x v="0"/>
    <x v="15"/>
    <n v="1"/>
    <x v="15"/>
    <x v="0"/>
  </r>
  <r>
    <x v="45"/>
    <s v="2025S104577"/>
    <x v="0"/>
    <x v="15"/>
    <n v="1"/>
    <x v="15"/>
    <x v="0"/>
  </r>
  <r>
    <x v="32"/>
    <s v="2025S1046256256"/>
    <x v="0"/>
    <x v="15"/>
    <n v="2"/>
    <x v="15"/>
    <x v="0"/>
  </r>
  <r>
    <x v="32"/>
    <s v="2025S1046310310"/>
    <x v="0"/>
    <x v="15"/>
    <n v="2"/>
    <x v="15"/>
    <x v="0"/>
  </r>
  <r>
    <x v="33"/>
    <s v="2025S10463333"/>
    <x v="0"/>
    <x v="15"/>
    <n v="1"/>
    <x v="15"/>
    <x v="0"/>
  </r>
  <r>
    <x v="14"/>
    <s v="2025S1047265265"/>
    <x v="0"/>
    <x v="11"/>
    <n v="2"/>
    <x v="11"/>
    <x v="2"/>
  </r>
  <r>
    <x v="15"/>
    <s v="2025S1047285285"/>
    <x v="3"/>
    <x v="11"/>
    <n v="2"/>
    <x v="11"/>
    <x v="2"/>
  </r>
  <r>
    <x v="17"/>
    <s v="2025S10474242"/>
    <x v="0"/>
    <x v="11"/>
    <n v="1"/>
    <x v="11"/>
    <x v="2"/>
  </r>
  <r>
    <x v="37"/>
    <s v="2025S1048267267"/>
    <x v="0"/>
    <x v="12"/>
    <n v="1"/>
    <x v="12"/>
    <x v="2"/>
  </r>
  <r>
    <x v="61"/>
    <s v="2025S1048287287"/>
    <x v="1"/>
    <x v="12"/>
    <n v="1"/>
    <x v="12"/>
    <x v="2"/>
  </r>
  <r>
    <x v="38"/>
    <s v="2025S10484444"/>
    <x v="0"/>
    <x v="12"/>
    <n v="1"/>
    <x v="12"/>
    <x v="2"/>
  </r>
  <r>
    <x v="62"/>
    <s v="2025S1049277277"/>
    <x v="0"/>
    <x v="11"/>
    <n v="1"/>
    <x v="11"/>
    <x v="2"/>
  </r>
  <r>
    <x v="63"/>
    <s v="2025S1049294294"/>
    <x v="0"/>
    <x v="11"/>
    <n v="1"/>
    <x v="11"/>
    <x v="2"/>
  </r>
  <r>
    <x v="63"/>
    <s v="2025S10495454"/>
    <x v="0"/>
    <x v="11"/>
    <n v="1"/>
    <x v="11"/>
    <x v="2"/>
  </r>
  <r>
    <x v="44"/>
    <s v="2025S1050231231"/>
    <x v="0"/>
    <x v="16"/>
    <n v="1"/>
    <x v="16"/>
    <x v="4"/>
  </r>
  <r>
    <x v="45"/>
    <s v="2025S105088"/>
    <x v="0"/>
    <x v="16"/>
    <n v="1"/>
    <x v="16"/>
    <x v="4"/>
  </r>
  <r>
    <x v="58"/>
    <s v="2025S1051260260"/>
    <x v="0"/>
    <x v="17"/>
    <n v="1"/>
    <x v="17"/>
    <x v="1"/>
  </r>
  <r>
    <x v="64"/>
    <s v="2025S1051314314"/>
    <x v="1"/>
    <x v="17"/>
    <n v="1"/>
    <x v="17"/>
    <x v="1"/>
  </r>
  <r>
    <x v="59"/>
    <s v="2025S10513737"/>
    <x v="0"/>
    <x v="17"/>
    <n v="1"/>
    <x v="17"/>
    <x v="1"/>
  </r>
  <r>
    <x v="54"/>
    <s v="2025S1052271271"/>
    <x v="0"/>
    <x v="17"/>
    <n v="1"/>
    <x v="17"/>
    <x v="1"/>
  </r>
  <r>
    <x v="51"/>
    <s v="2025S1042304304"/>
    <x v="0"/>
    <x v="14"/>
    <n v="1"/>
    <x v="14"/>
    <x v="4"/>
  </r>
  <r>
    <x v="56"/>
    <s v="2025S10524848"/>
    <x v="0"/>
    <x v="17"/>
    <n v="1"/>
    <x v="17"/>
    <x v="1"/>
  </r>
  <r>
    <x v="32"/>
    <s v="2025S1053257257"/>
    <x v="0"/>
    <x v="12"/>
    <n v="1"/>
    <x v="12"/>
    <x v="2"/>
  </r>
  <r>
    <x v="57"/>
    <s v="2025S1052291291"/>
    <x v="0"/>
    <x v="17"/>
    <n v="1"/>
    <x v="17"/>
    <x v="1"/>
  </r>
  <r>
    <x v="33"/>
    <s v="2025S10533434"/>
    <x v="0"/>
    <x v="12"/>
    <n v="1"/>
    <x v="12"/>
    <x v="2"/>
  </r>
  <r>
    <x v="24"/>
    <s v="2025S10542020"/>
    <x v="0"/>
    <x v="18"/>
    <n v="1"/>
    <x v="18"/>
    <x v="1"/>
  </r>
  <r>
    <x v="25"/>
    <s v="2025S1054243243"/>
    <x v="3"/>
    <x v="18"/>
    <n v="1"/>
    <x v="18"/>
    <x v="1"/>
  </r>
  <r>
    <x v="49"/>
    <s v="2025S1055251251"/>
    <x v="0"/>
    <x v="19"/>
    <n v="1"/>
    <x v="19"/>
    <x v="2"/>
  </r>
  <r>
    <x v="48"/>
    <s v="2025S10552828"/>
    <x v="0"/>
    <x v="19"/>
    <n v="1"/>
    <x v="19"/>
    <x v="2"/>
  </r>
  <r>
    <x v="49"/>
    <s v="2025S1055305305"/>
    <x v="0"/>
    <x v="19"/>
    <n v="1"/>
    <x v="19"/>
    <x v="2"/>
  </r>
  <r>
    <x v="65"/>
    <s v="2025S1056261261"/>
    <x v="0"/>
    <x v="18"/>
    <n v="1"/>
    <x v="18"/>
    <x v="1"/>
  </r>
  <r>
    <x v="8"/>
    <s v="2025S1053311311"/>
    <x v="0"/>
    <x v="12"/>
    <n v="1"/>
    <x v="12"/>
    <x v="2"/>
  </r>
  <r>
    <x v="66"/>
    <s v="2025S10563838"/>
    <x v="0"/>
    <x v="18"/>
    <n v="1"/>
    <x v="18"/>
    <x v="1"/>
  </r>
  <r>
    <x v="54"/>
    <s v="2025S1057272272"/>
    <x v="0"/>
    <x v="19"/>
    <n v="1"/>
    <x v="19"/>
    <x v="2"/>
  </r>
  <r>
    <x v="57"/>
    <s v="2025S1057292292"/>
    <x v="1"/>
    <x v="19"/>
    <n v="1"/>
    <x v="19"/>
    <x v="2"/>
  </r>
  <r>
    <x v="56"/>
    <s v="2025S10574949"/>
    <x v="0"/>
    <x v="19"/>
    <n v="1"/>
    <x v="19"/>
    <x v="2"/>
  </r>
  <r>
    <x v="67"/>
    <s v="2025S1058276276"/>
    <x v="0"/>
    <x v="19"/>
    <n v="1"/>
    <x v="19"/>
    <x v="2"/>
  </r>
  <r>
    <x v="68"/>
    <s v="2025S10585353"/>
    <x v="0"/>
    <x v="19"/>
    <n v="1"/>
    <x v="19"/>
    <x v="2"/>
  </r>
  <r>
    <x v="69"/>
    <s v="2025S1056315315"/>
    <x v="0"/>
    <x v="18"/>
    <n v="1"/>
    <x v="18"/>
    <x v="1"/>
  </r>
  <r>
    <x v="50"/>
    <s v="2025S1059100100"/>
    <x v="0"/>
    <x v="8"/>
    <n v="1"/>
    <x v="8"/>
    <x v="5"/>
  </r>
  <r>
    <x v="42"/>
    <s v="2025S1060118118"/>
    <x v="1"/>
    <x v="20"/>
    <n v="1"/>
    <x v="20"/>
    <x v="2"/>
  </r>
  <r>
    <x v="45"/>
    <s v="2025S10615959"/>
    <x v="0"/>
    <x v="8"/>
    <n v="1"/>
    <x v="8"/>
    <x v="5"/>
  </r>
  <r>
    <x v="70"/>
    <s v="2025S10626060"/>
    <x v="0"/>
    <x v="18"/>
    <n v="1"/>
    <x v="18"/>
    <x v="1"/>
  </r>
  <r>
    <x v="71"/>
    <s v="2025S10636161"/>
    <x v="0"/>
    <x v="17"/>
    <n v="1"/>
    <x v="17"/>
    <x v="1"/>
  </r>
  <r>
    <x v="72"/>
    <s v="2025S10646262"/>
    <x v="0"/>
    <x v="11"/>
    <n v="1"/>
    <x v="11"/>
    <x v="2"/>
  </r>
  <r>
    <x v="31"/>
    <s v="2025S10656363"/>
    <x v="0"/>
    <x v="13"/>
    <n v="1"/>
    <x v="13"/>
    <x v="1"/>
  </r>
  <r>
    <x v="73"/>
    <s v="2025S10666868"/>
    <x v="0"/>
    <x v="21"/>
    <n v="1"/>
    <x v="21"/>
    <x v="0"/>
  </r>
  <r>
    <x v="49"/>
    <s v="2025S10677171"/>
    <x v="0"/>
    <x v="21"/>
    <n v="1"/>
    <x v="21"/>
    <x v="0"/>
  </r>
  <r>
    <x v="6"/>
    <s v="2025S10686969"/>
    <x v="0"/>
    <x v="11"/>
    <n v="1"/>
    <x v="11"/>
    <x v="2"/>
  </r>
  <r>
    <x v="69"/>
    <s v="2025S10698282"/>
    <x v="0"/>
    <x v="13"/>
    <n v="1"/>
    <x v="13"/>
    <x v="1"/>
  </r>
  <r>
    <x v="69"/>
    <s v="2025S10708383"/>
    <x v="0"/>
    <x v="22"/>
    <n v="1"/>
    <x v="22"/>
    <x v="4"/>
  </r>
  <r>
    <x v="51"/>
    <s v="2025S10717272"/>
    <x v="0"/>
    <x v="11"/>
    <n v="1"/>
    <x v="11"/>
    <x v="2"/>
  </r>
  <r>
    <x v="6"/>
    <s v="2025S10727070"/>
    <x v="0"/>
    <x v="22"/>
    <n v="1"/>
    <x v="22"/>
    <x v="4"/>
  </r>
  <r>
    <x v="69"/>
    <s v="2025S10738484"/>
    <x v="0"/>
    <x v="13"/>
    <n v="1"/>
    <x v="13"/>
    <x v="1"/>
  </r>
  <r>
    <x v="72"/>
    <s v="2025S10746464"/>
    <x v="0"/>
    <x v="20"/>
    <n v="1"/>
    <x v="20"/>
    <x v="2"/>
  </r>
  <r>
    <x v="74"/>
    <s v="2025S10756666"/>
    <x v="0"/>
    <x v="13"/>
    <n v="1"/>
    <x v="13"/>
    <x v="1"/>
  </r>
  <r>
    <x v="51"/>
    <s v="2025S10767373"/>
    <x v="0"/>
    <x v="20"/>
    <n v="1"/>
    <x v="20"/>
    <x v="2"/>
  </r>
  <r>
    <x v="52"/>
    <s v="2025S10777777"/>
    <x v="0"/>
    <x v="13"/>
    <n v="1"/>
    <x v="13"/>
    <x v="1"/>
  </r>
  <r>
    <x v="8"/>
    <s v="2025S10787979"/>
    <x v="0"/>
    <x v="20"/>
    <n v="1"/>
    <x v="20"/>
    <x v="2"/>
  </r>
  <r>
    <x v="69"/>
    <s v="2025S10798585"/>
    <x v="1"/>
    <x v="13"/>
    <n v="2"/>
    <x v="13"/>
    <x v="1"/>
  </r>
  <r>
    <x v="14"/>
    <s v="2025S10809494"/>
    <x v="0"/>
    <x v="21"/>
    <n v="1"/>
    <x v="21"/>
    <x v="0"/>
  </r>
  <r>
    <x v="72"/>
    <s v="2025S10816565"/>
    <x v="0"/>
    <x v="11"/>
    <n v="1"/>
    <x v="11"/>
    <x v="2"/>
  </r>
  <r>
    <x v="69"/>
    <s v="2025S10828686"/>
    <x v="0"/>
    <x v="22"/>
    <n v="1"/>
    <x v="22"/>
    <x v="4"/>
  </r>
  <r>
    <x v="61"/>
    <s v="2025S10839797"/>
    <x v="0"/>
    <x v="8"/>
    <n v="1"/>
    <x v="8"/>
    <x v="5"/>
  </r>
  <r>
    <x v="16"/>
    <s v="2025S10848080"/>
    <x v="0"/>
    <x v="21"/>
    <n v="1"/>
    <x v="21"/>
    <x v="0"/>
  </r>
  <r>
    <x v="65"/>
    <s v="2025S10858787"/>
    <x v="0"/>
    <x v="13"/>
    <n v="1"/>
    <x v="13"/>
    <x v="1"/>
  </r>
  <r>
    <x v="51"/>
    <s v="2025S10867474"/>
    <x v="0"/>
    <x v="18"/>
    <n v="1"/>
    <x v="18"/>
    <x v="1"/>
  </r>
  <r>
    <x v="51"/>
    <s v="2025S10877575"/>
    <x v="0"/>
    <x v="21"/>
    <n v="1"/>
    <x v="21"/>
    <x v="0"/>
  </r>
  <r>
    <x v="55"/>
    <s v="2025S10887878"/>
    <x v="0"/>
    <x v="13"/>
    <n v="3"/>
    <x v="13"/>
    <x v="1"/>
  </r>
  <r>
    <x v="57"/>
    <s v="2025S1089101101"/>
    <x v="1"/>
    <x v="15"/>
    <n v="1"/>
    <x v="15"/>
    <x v="0"/>
  </r>
  <r>
    <x v="74"/>
    <s v="2025S10906767"/>
    <x v="0"/>
    <x v="12"/>
    <n v="2"/>
    <x v="12"/>
    <x v="2"/>
  </r>
  <r>
    <x v="51"/>
    <s v="2025S10917676"/>
    <x v="0"/>
    <x v="6"/>
    <n v="1"/>
    <x v="6"/>
    <x v="1"/>
  </r>
  <r>
    <x v="64"/>
    <s v="2025S10928181"/>
    <x v="3"/>
    <x v="11"/>
    <n v="1"/>
    <x v="11"/>
    <x v="2"/>
  </r>
  <r>
    <x v="69"/>
    <s v="2025S10938888"/>
    <x v="0"/>
    <x v="22"/>
    <n v="1"/>
    <x v="22"/>
    <x v="4"/>
  </r>
  <r>
    <x v="65"/>
    <s v="2025S10948989"/>
    <x v="0"/>
    <x v="13"/>
    <n v="3"/>
    <x v="13"/>
    <x v="1"/>
  </r>
  <r>
    <x v="15"/>
    <s v="2025S10959595"/>
    <x v="0"/>
    <x v="12"/>
    <n v="1"/>
    <x v="12"/>
    <x v="2"/>
  </r>
  <r>
    <x v="34"/>
    <s v="2025S1096104104"/>
    <x v="0"/>
    <x v="6"/>
    <n v="1"/>
    <x v="6"/>
    <x v="1"/>
  </r>
  <r>
    <x v="57"/>
    <s v="2025S1097102102"/>
    <x v="0"/>
    <x v="8"/>
    <n v="1"/>
    <x v="8"/>
    <x v="5"/>
  </r>
  <r>
    <x v="34"/>
    <s v="2025S1098105105"/>
    <x v="0"/>
    <x v="18"/>
    <n v="1"/>
    <x v="18"/>
    <x v="1"/>
  </r>
  <r>
    <x v="61"/>
    <s v="2025S10999898"/>
    <x v="0"/>
    <x v="17"/>
    <n v="1"/>
    <x v="17"/>
    <x v="1"/>
  </r>
  <r>
    <x v="75"/>
    <s v="2025S1100112112"/>
    <x v="0"/>
    <x v="22"/>
    <n v="1"/>
    <x v="22"/>
    <x v="4"/>
  </r>
  <r>
    <x v="75"/>
    <s v="2025S1101113113"/>
    <x v="0"/>
    <x v="6"/>
    <n v="1"/>
    <x v="6"/>
    <x v="1"/>
  </r>
  <r>
    <x v="14"/>
    <s v="2025S11029696"/>
    <x v="0"/>
    <x v="21"/>
    <n v="1"/>
    <x v="21"/>
    <x v="0"/>
  </r>
  <r>
    <x v="69"/>
    <s v="2025S11039090"/>
    <x v="0"/>
    <x v="6"/>
    <n v="1"/>
    <x v="6"/>
    <x v="1"/>
  </r>
  <r>
    <x v="69"/>
    <s v="2025S11049191"/>
    <x v="0"/>
    <x v="11"/>
    <n v="1"/>
    <x v="11"/>
    <x v="2"/>
  </r>
  <r>
    <x v="75"/>
    <s v="2025S1105114114"/>
    <x v="0"/>
    <x v="4"/>
    <n v="1"/>
    <x v="4"/>
    <x v="2"/>
  </r>
  <r>
    <x v="57"/>
    <s v="2025S1106161161"/>
    <x v="0"/>
    <x v="6"/>
    <n v="1"/>
    <x v="6"/>
    <x v="1"/>
  </r>
  <r>
    <x v="76"/>
    <s v="2025S1107106106"/>
    <x v="1"/>
    <x v="21"/>
    <n v="1"/>
    <x v="21"/>
    <x v="0"/>
  </r>
  <r>
    <x v="75"/>
    <s v="2025S1108115115"/>
    <x v="1"/>
    <x v="12"/>
    <n v="1"/>
    <x v="12"/>
    <x v="2"/>
  </r>
  <r>
    <x v="69"/>
    <s v="2025S11099292"/>
    <x v="0"/>
    <x v="21"/>
    <n v="1"/>
    <x v="21"/>
    <x v="0"/>
  </r>
  <r>
    <x v="65"/>
    <s v="2025S11109393"/>
    <x v="0"/>
    <x v="6"/>
    <n v="1"/>
    <x v="6"/>
    <x v="1"/>
  </r>
  <r>
    <x v="75"/>
    <s v="2025S1111116116"/>
    <x v="0"/>
    <x v="10"/>
    <n v="1"/>
    <x v="10"/>
    <x v="2"/>
  </r>
  <r>
    <x v="34"/>
    <s v="2025S1112107107"/>
    <x v="0"/>
    <x v="17"/>
    <n v="3"/>
    <x v="17"/>
    <x v="1"/>
  </r>
  <r>
    <x v="57"/>
    <s v="2025S1113162162"/>
    <x v="1"/>
    <x v="9"/>
    <n v="1"/>
    <x v="9"/>
    <x v="2"/>
  </r>
  <r>
    <x v="76"/>
    <s v="2025S1114108108"/>
    <x v="0"/>
    <x v="11"/>
    <n v="2"/>
    <x v="11"/>
    <x v="2"/>
  </r>
  <r>
    <x v="57"/>
    <s v="2025S1115103103"/>
    <x v="0"/>
    <x v="6"/>
    <n v="1"/>
    <x v="6"/>
    <x v="1"/>
  </r>
  <r>
    <x v="12"/>
    <s v="2025S11169999"/>
    <x v="0"/>
    <x v="18"/>
    <n v="1"/>
    <x v="18"/>
    <x v="1"/>
  </r>
  <r>
    <x v="76"/>
    <s v="2025S1117109109"/>
    <x v="0"/>
    <x v="6"/>
    <n v="1"/>
    <x v="6"/>
    <x v="1"/>
  </r>
  <r>
    <x v="68"/>
    <s v="2025S1118111111"/>
    <x v="0"/>
    <x v="12"/>
    <n v="1"/>
    <x v="12"/>
    <x v="2"/>
  </r>
  <r>
    <x v="76"/>
    <s v="2025S1119110110"/>
    <x v="0"/>
    <x v="21"/>
    <n v="1"/>
    <x v="21"/>
    <x v="0"/>
  </r>
  <r>
    <x v="57"/>
    <s v="2025S1120163163"/>
    <x v="0"/>
    <x v="18"/>
    <n v="1"/>
    <x v="18"/>
    <x v="1"/>
  </r>
  <r>
    <x v="77"/>
    <s v="2025S1121117117"/>
    <x v="0"/>
    <x v="18"/>
    <n v="1"/>
    <x v="18"/>
    <x v="1"/>
  </r>
  <r>
    <x v="42"/>
    <s v="2025S1122119119"/>
    <x v="0"/>
    <x v="11"/>
    <n v="1"/>
    <x v="11"/>
    <x v="2"/>
  </r>
  <r>
    <x v="4"/>
    <s v="2025S1123138138"/>
    <x v="0"/>
    <x v="22"/>
    <n v="2"/>
    <x v="22"/>
    <x v="4"/>
  </r>
  <r>
    <x v="57"/>
    <s v="2025S1124164164"/>
    <x v="0"/>
    <x v="10"/>
    <n v="1"/>
    <x v="10"/>
    <x v="2"/>
  </r>
  <r>
    <x v="78"/>
    <s v="2025S1125120120"/>
    <x v="1"/>
    <x v="22"/>
    <n v="1"/>
    <x v="22"/>
    <x v="4"/>
  </r>
  <r>
    <x v="6"/>
    <s v="2025S1126139139"/>
    <x v="0"/>
    <x v="11"/>
    <n v="1"/>
    <x v="11"/>
    <x v="2"/>
  </r>
  <r>
    <x v="79"/>
    <s v="2025S1127123123"/>
    <x v="0"/>
    <x v="22"/>
    <n v="1"/>
    <x v="22"/>
    <x v="4"/>
  </r>
  <r>
    <x v="80"/>
    <s v="2025S1128121121"/>
    <x v="0"/>
    <x v="12"/>
    <n v="1"/>
    <x v="12"/>
    <x v="2"/>
  </r>
  <r>
    <x v="57"/>
    <s v="2025S1129165165"/>
    <x v="0"/>
    <x v="20"/>
    <n v="1"/>
    <x v="20"/>
    <x v="2"/>
  </r>
  <r>
    <x v="81"/>
    <s v="2025S1130122122"/>
    <x v="1"/>
    <x v="10"/>
    <n v="2"/>
    <x v="10"/>
    <x v="2"/>
  </r>
  <r>
    <x v="79"/>
    <s v="2025S1131124124"/>
    <x v="0"/>
    <x v="18"/>
    <n v="1"/>
    <x v="18"/>
    <x v="1"/>
  </r>
  <r>
    <x v="6"/>
    <s v="2025S1132140140"/>
    <x v="0"/>
    <x v="16"/>
    <n v="1"/>
    <x v="16"/>
    <x v="4"/>
  </r>
  <r>
    <x v="73"/>
    <s v="2025S1133129129"/>
    <x v="1"/>
    <x v="11"/>
    <n v="1"/>
    <x v="11"/>
    <x v="2"/>
  </r>
  <r>
    <x v="2"/>
    <s v="2025S1134135135"/>
    <x v="0"/>
    <x v="20"/>
    <n v="1"/>
    <x v="20"/>
    <x v="2"/>
  </r>
  <r>
    <x v="57"/>
    <s v="2025S1135166166"/>
    <x v="0"/>
    <x v="4"/>
    <n v="1"/>
    <x v="4"/>
    <x v="2"/>
  </r>
  <r>
    <x v="51"/>
    <s v="2025S1136145145"/>
    <x v="1"/>
    <x v="22"/>
    <n v="1"/>
    <x v="22"/>
    <x v="4"/>
  </r>
  <r>
    <x v="73"/>
    <s v="2025S1137130130"/>
    <x v="1"/>
    <x v="20"/>
    <n v="1"/>
    <x v="20"/>
    <x v="2"/>
  </r>
  <r>
    <x v="2"/>
    <s v="2025S1138136136"/>
    <x v="0"/>
    <x v="11"/>
    <n v="1"/>
    <x v="11"/>
    <x v="2"/>
  </r>
  <r>
    <x v="24"/>
    <s v="2025S1139131131"/>
    <x v="0"/>
    <x v="16"/>
    <n v="1"/>
    <x v="16"/>
    <x v="4"/>
  </r>
  <r>
    <x v="79"/>
    <s v="2025S1140125125"/>
    <x v="0"/>
    <x v="21"/>
    <n v="1"/>
    <x v="21"/>
    <x v="0"/>
  </r>
  <r>
    <x v="20"/>
    <s v="2025S1141126126"/>
    <x v="0"/>
    <x v="21"/>
    <n v="1"/>
    <x v="21"/>
    <x v="0"/>
  </r>
  <r>
    <x v="22"/>
    <s v="2025S1142127127"/>
    <x v="0"/>
    <x v="11"/>
    <n v="1"/>
    <x v="11"/>
    <x v="2"/>
  </r>
  <r>
    <x v="73"/>
    <s v="2025S1143132132"/>
    <x v="1"/>
    <x v="11"/>
    <n v="1"/>
    <x v="11"/>
    <x v="2"/>
  </r>
  <r>
    <x v="2"/>
    <s v="2025S1144137137"/>
    <x v="0"/>
    <x v="21"/>
    <n v="1"/>
    <x v="21"/>
    <x v="0"/>
  </r>
  <r>
    <x v="6"/>
    <s v="2025S1145141141"/>
    <x v="1"/>
    <x v="20"/>
    <n v="1"/>
    <x v="20"/>
    <x v="2"/>
  </r>
  <r>
    <x v="82"/>
    <s v="2025S1146144144"/>
    <x v="0"/>
    <x v="21"/>
    <n v="1"/>
    <x v="21"/>
    <x v="0"/>
  </r>
  <r>
    <x v="51"/>
    <s v="2025S1147146146"/>
    <x v="0"/>
    <x v="12"/>
    <n v="1"/>
    <x v="12"/>
    <x v="2"/>
  </r>
  <r>
    <x v="22"/>
    <s v="2025S1148128128"/>
    <x v="0"/>
    <x v="10"/>
    <n v="3"/>
    <x v="10"/>
    <x v="2"/>
  </r>
  <r>
    <x v="57"/>
    <s v="2025S1149167167"/>
    <x v="0"/>
    <x v="20"/>
    <n v="1"/>
    <x v="20"/>
    <x v="2"/>
  </r>
  <r>
    <x v="51"/>
    <s v="2025S1150147147"/>
    <x v="0"/>
    <x v="9"/>
    <n v="2"/>
    <x v="9"/>
    <x v="2"/>
  </r>
  <r>
    <x v="57"/>
    <s v="2025S1151168168"/>
    <x v="0"/>
    <x v="10"/>
    <n v="1"/>
    <x v="10"/>
    <x v="2"/>
  </r>
  <r>
    <x v="51"/>
    <s v="2025S1152148148"/>
    <x v="1"/>
    <x v="23"/>
    <n v="1"/>
    <x v="23"/>
    <x v="5"/>
  </r>
  <r>
    <x v="6"/>
    <s v="2025S1153142142"/>
    <x v="0"/>
    <x v="21"/>
    <n v="1"/>
    <x v="21"/>
    <x v="0"/>
  </r>
  <r>
    <x v="51"/>
    <s v="2025S1154149149"/>
    <x v="1"/>
    <x v="12"/>
    <n v="1"/>
    <x v="12"/>
    <x v="2"/>
  </r>
  <r>
    <x v="51"/>
    <s v="2025S1155150150"/>
    <x v="0"/>
    <x v="9"/>
    <n v="1"/>
    <x v="9"/>
    <x v="2"/>
  </r>
  <r>
    <x v="54"/>
    <s v="2025S1156169169"/>
    <x v="0"/>
    <x v="18"/>
    <n v="1"/>
    <x v="18"/>
    <x v="1"/>
  </r>
  <r>
    <x v="57"/>
    <s v="2025S1157170170"/>
    <x v="0"/>
    <x v="4"/>
    <n v="1"/>
    <x v="4"/>
    <x v="2"/>
  </r>
  <r>
    <x v="73"/>
    <s v="2025S1158133133"/>
    <x v="0"/>
    <x v="16"/>
    <n v="1"/>
    <x v="16"/>
    <x v="4"/>
  </r>
  <r>
    <x v="6"/>
    <s v="2025S1159143143"/>
    <x v="0"/>
    <x v="12"/>
    <n v="1"/>
    <x v="12"/>
    <x v="2"/>
  </r>
  <r>
    <x v="51"/>
    <s v="2025S1160151151"/>
    <x v="0"/>
    <x v="20"/>
    <n v="1"/>
    <x v="20"/>
    <x v="2"/>
  </r>
  <r>
    <x v="83"/>
    <s v="2025S1161182182"/>
    <x v="1"/>
    <x v="18"/>
    <n v="1"/>
    <x v="18"/>
    <x v="1"/>
  </r>
  <r>
    <x v="7"/>
    <s v="2025S1162153153"/>
    <x v="0"/>
    <x v="9"/>
    <n v="1"/>
    <x v="9"/>
    <x v="2"/>
  </r>
  <r>
    <x v="64"/>
    <s v="2025S1163159159"/>
    <x v="1"/>
    <x v="8"/>
    <n v="1"/>
    <x v="8"/>
    <x v="5"/>
  </r>
  <r>
    <x v="16"/>
    <s v="2025S1164154154"/>
    <x v="0"/>
    <x v="11"/>
    <n v="1"/>
    <x v="11"/>
    <x v="2"/>
  </r>
  <r>
    <x v="32"/>
    <s v="2025S1165152152"/>
    <x v="0"/>
    <x v="11"/>
    <n v="1"/>
    <x v="11"/>
    <x v="2"/>
  </r>
  <r>
    <x v="9"/>
    <s v="2025S1166155155"/>
    <x v="0"/>
    <x v="9"/>
    <n v="1"/>
    <x v="9"/>
    <x v="2"/>
  </r>
  <r>
    <x v="16"/>
    <s v="2025S1167156156"/>
    <x v="0"/>
    <x v="8"/>
    <n v="1"/>
    <x v="8"/>
    <x v="5"/>
  </r>
  <r>
    <x v="7"/>
    <s v="2025S1168157157"/>
    <x v="0"/>
    <x v="8"/>
    <n v="1"/>
    <x v="8"/>
    <x v="5"/>
  </r>
  <r>
    <x v="16"/>
    <s v="2025S1169158158"/>
    <x v="0"/>
    <x v="11"/>
    <n v="1"/>
    <x v="11"/>
    <x v="2"/>
  </r>
  <r>
    <x v="29"/>
    <s v="2025S1170191191"/>
    <x v="0"/>
    <x v="8"/>
    <n v="1"/>
    <x v="8"/>
    <x v="5"/>
  </r>
  <r>
    <x v="24"/>
    <s v="2025S1171134134"/>
    <x v="0"/>
    <x v="20"/>
    <n v="1"/>
    <x v="20"/>
    <x v="2"/>
  </r>
  <r>
    <x v="42"/>
    <s v="2025S1172204204"/>
    <x v="1"/>
    <x v="11"/>
    <n v="1"/>
    <x v="11"/>
    <x v="2"/>
  </r>
  <r>
    <x v="57"/>
    <s v="2025S1173171171"/>
    <x v="0"/>
    <x v="20"/>
    <n v="1"/>
    <x v="20"/>
    <x v="2"/>
  </r>
  <r>
    <x v="63"/>
    <s v="2025S1174183183"/>
    <x v="0"/>
    <x v="6"/>
    <n v="1"/>
    <x v="6"/>
    <x v="1"/>
  </r>
  <r>
    <x v="43"/>
    <s v="2025S1175205205"/>
    <x v="0"/>
    <x v="14"/>
    <n v="1"/>
    <x v="14"/>
    <x v="4"/>
  </r>
  <r>
    <x v="58"/>
    <s v="2025S1176160160"/>
    <x v="0"/>
    <x v="22"/>
    <n v="2"/>
    <x v="22"/>
    <x v="4"/>
  </r>
  <r>
    <x v="83"/>
    <s v="2025S1177184184"/>
    <x v="0"/>
    <x v="11"/>
    <n v="1"/>
    <x v="11"/>
    <x v="2"/>
  </r>
  <r>
    <x v="43"/>
    <s v="2025S1178206206"/>
    <x v="0"/>
    <x v="20"/>
    <n v="1"/>
    <x v="20"/>
    <x v="2"/>
  </r>
  <r>
    <x v="67"/>
    <s v="2025S1179176176"/>
    <x v="0"/>
    <x v="18"/>
    <n v="2"/>
    <x v="18"/>
    <x v="1"/>
  </r>
  <r>
    <x v="60"/>
    <s v="2025S1180192192"/>
    <x v="1"/>
    <x v="18"/>
    <n v="1"/>
    <x v="18"/>
    <x v="1"/>
  </r>
  <r>
    <x v="67"/>
    <s v="2025S1181177177"/>
    <x v="0"/>
    <x v="4"/>
    <n v="1"/>
    <x v="4"/>
    <x v="2"/>
  </r>
  <r>
    <x v="83"/>
    <s v="2025S1182185185"/>
    <x v="0"/>
    <x v="13"/>
    <n v="2"/>
    <x v="13"/>
    <x v="1"/>
  </r>
  <r>
    <x v="83"/>
    <s v="2025S1183186186"/>
    <x v="0"/>
    <x v="11"/>
    <n v="1"/>
    <x v="11"/>
    <x v="2"/>
  </r>
  <r>
    <x v="29"/>
    <s v="2025S1184193193"/>
    <x v="0"/>
    <x v="6"/>
    <n v="1"/>
    <x v="6"/>
    <x v="1"/>
  </r>
  <r>
    <x v="84"/>
    <s v="2025S1185178178"/>
    <x v="1"/>
    <x v="8"/>
    <n v="1"/>
    <x v="8"/>
    <x v="5"/>
  </r>
  <r>
    <x v="42"/>
    <s v="2025S1186207207"/>
    <x v="0"/>
    <x v="6"/>
    <n v="1"/>
    <x v="6"/>
    <x v="1"/>
  </r>
  <r>
    <x v="63"/>
    <s v="2025S1049294294"/>
    <x v="0"/>
    <x v="11"/>
    <n v="1"/>
    <x v="11"/>
    <x v="2"/>
  </r>
  <r>
    <x v="29"/>
    <s v="2025S1187194194"/>
    <x v="3"/>
    <x v="13"/>
    <n v="1"/>
    <x v="13"/>
    <x v="1"/>
  </r>
  <r>
    <x v="67"/>
    <s v="2025S1188179179"/>
    <x v="0"/>
    <x v="18"/>
    <n v="1"/>
    <x v="18"/>
    <x v="1"/>
  </r>
  <r>
    <x v="83"/>
    <s v="2025S1189187187"/>
    <x v="1"/>
    <x v="6"/>
    <n v="1"/>
    <x v="6"/>
    <x v="1"/>
  </r>
  <r>
    <x v="29"/>
    <s v="2025S1190195195"/>
    <x v="0"/>
    <x v="14"/>
    <n v="1"/>
    <x v="14"/>
    <x v="4"/>
  </r>
  <r>
    <x v="84"/>
    <s v="2025S1191180180"/>
    <x v="1"/>
    <x v="13"/>
    <n v="1"/>
    <x v="13"/>
    <x v="1"/>
  </r>
  <r>
    <x v="43"/>
    <s v="2025S1192208208"/>
    <x v="0"/>
    <x v="20"/>
    <n v="1"/>
    <x v="20"/>
    <x v="2"/>
  </r>
  <r>
    <x v="29"/>
    <s v="2025S1193196196"/>
    <x v="0"/>
    <x v="17"/>
    <n v="1"/>
    <x v="17"/>
    <x v="1"/>
  </r>
  <r>
    <x v="43"/>
    <s v="2025S1194209209"/>
    <x v="0"/>
    <x v="18"/>
    <n v="1"/>
    <x v="18"/>
    <x v="1"/>
  </r>
  <r>
    <x v="43"/>
    <s v="2025S1195210210"/>
    <x v="0"/>
    <x v="6"/>
    <n v="2"/>
    <x v="6"/>
    <x v="1"/>
  </r>
  <r>
    <x v="43"/>
    <s v="2025S1196211211"/>
    <x v="0"/>
    <x v="20"/>
    <n v="1"/>
    <x v="20"/>
    <x v="2"/>
  </r>
  <r>
    <x v="41"/>
    <s v="2025S1197212212"/>
    <x v="0"/>
    <x v="17"/>
    <n v="2"/>
    <x v="17"/>
    <x v="1"/>
  </r>
  <r>
    <x v="29"/>
    <s v="2025S1198197197"/>
    <x v="0"/>
    <x v="18"/>
    <n v="1"/>
    <x v="18"/>
    <x v="1"/>
  </r>
  <r>
    <x v="57"/>
    <s v="2025S1199172172"/>
    <x v="0"/>
    <x v="8"/>
    <n v="1"/>
    <x v="8"/>
    <x v="5"/>
  </r>
  <r>
    <x v="41"/>
    <s v="2025S1200213213"/>
    <x v="0"/>
    <x v="22"/>
    <n v="2"/>
    <x v="22"/>
    <x v="4"/>
  </r>
  <r>
    <x v="29"/>
    <s v="2025S1201198198"/>
    <x v="0"/>
    <x v="17"/>
    <n v="1"/>
    <x v="17"/>
    <x v="1"/>
  </r>
  <r>
    <x v="63"/>
    <s v="2025S1202188188"/>
    <x v="0"/>
    <x v="18"/>
    <n v="1"/>
    <x v="18"/>
    <x v="1"/>
  </r>
  <r>
    <x v="57"/>
    <s v="2025S1203173173"/>
    <x v="0"/>
    <x v="18"/>
    <n v="1"/>
    <x v="18"/>
    <x v="1"/>
  </r>
  <r>
    <x v="43"/>
    <s v="2025S1204214214"/>
    <x v="0"/>
    <x v="17"/>
    <n v="1"/>
    <x v="17"/>
    <x v="1"/>
  </r>
  <r>
    <x v="29"/>
    <s v="2025S1205199199"/>
    <x v="0"/>
    <x v="18"/>
    <n v="1"/>
    <x v="18"/>
    <x v="1"/>
  </r>
  <r>
    <x v="83"/>
    <s v="2025S1206189189"/>
    <x v="1"/>
    <x v="17"/>
    <n v="1"/>
    <x v="17"/>
    <x v="1"/>
  </r>
  <r>
    <x v="63"/>
    <s v="2025S1207190190"/>
    <x v="0"/>
    <x v="22"/>
    <n v="1"/>
    <x v="22"/>
    <x v="4"/>
  </r>
  <r>
    <x v="60"/>
    <s v="2025S1208200200"/>
    <x v="1"/>
    <x v="8"/>
    <n v="1"/>
    <x v="8"/>
    <x v="5"/>
  </r>
  <r>
    <x v="68"/>
    <s v="2025S1209181181"/>
    <x v="0"/>
    <x v="13"/>
    <n v="1"/>
    <x v="13"/>
    <x v="1"/>
  </r>
  <r>
    <x v="85"/>
    <s v="2025S1210175175"/>
    <x v="0"/>
    <x v="8"/>
    <n v="1"/>
    <x v="8"/>
    <x v="5"/>
  </r>
  <r>
    <x v="57"/>
    <s v="2025S1211174174"/>
    <x v="1"/>
    <x v="4"/>
    <n v="2"/>
    <x v="4"/>
    <x v="2"/>
  </r>
  <r>
    <x v="29"/>
    <s v="2025S1212201201"/>
    <x v="0"/>
    <x v="18"/>
    <n v="1"/>
    <x v="18"/>
    <x v="1"/>
  </r>
  <r>
    <x v="86"/>
    <s v="2025S1213202202"/>
    <x v="0"/>
    <x v="11"/>
    <n v="1"/>
    <x v="11"/>
    <x v="2"/>
  </r>
  <r>
    <x v="86"/>
    <s v="2025S1214203203"/>
    <x v="0"/>
    <x v="14"/>
    <n v="1"/>
    <x v="14"/>
    <x v="4"/>
  </r>
  <r>
    <x v="43"/>
    <s v="2025S1215215215"/>
    <x v="0"/>
    <x v="20"/>
    <n v="1"/>
    <x v="20"/>
    <x v="2"/>
  </r>
  <r>
    <x v="87"/>
    <s v="2025S1216216216"/>
    <x v="0"/>
    <x v="17"/>
    <n v="1"/>
    <x v="17"/>
    <x v="1"/>
  </r>
  <r>
    <x v="70"/>
    <s v="2025S1217217217"/>
    <x v="0"/>
    <x v="20"/>
    <n v="1"/>
    <x v="20"/>
    <x v="2"/>
  </r>
  <r>
    <x v="74"/>
    <s v="2025S1218222222"/>
    <x v="1"/>
    <x v="22"/>
    <n v="1"/>
    <x v="22"/>
    <x v="4"/>
  </r>
  <r>
    <x v="46"/>
    <s v="2025S1219220220"/>
    <x v="0"/>
    <x v="22"/>
    <n v="1"/>
    <x v="22"/>
    <x v="4"/>
  </r>
  <r>
    <x v="31"/>
    <s v="2025S1220221221"/>
    <x v="0"/>
    <x v="20"/>
    <n v="1"/>
    <x v="20"/>
    <x v="2"/>
  </r>
  <r>
    <x v="74"/>
    <s v="2025S1221223223"/>
    <x v="0"/>
    <x v="20"/>
    <n v="1"/>
    <x v="20"/>
    <x v="2"/>
  </r>
  <r>
    <x v="70"/>
    <s v="2025S1222218218"/>
    <x v="0"/>
    <x v="22"/>
    <n v="1"/>
    <x v="22"/>
    <x v="4"/>
  </r>
  <r>
    <x v="45"/>
    <s v="2025S1223219219"/>
    <x v="0"/>
    <x v="6"/>
    <n v="1"/>
    <x v="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5F99CE-2E44-42B5-BBCF-EB2973D8BE7D}" name="Kontingenční tabulka1" cacheId="7" applyNumberFormats="0" applyBorderFormats="0" applyFontFormats="0" applyPatternFormats="0" applyAlignmentFormats="0" applyWidthHeightFormats="1" dataCaption="Hodnoty" updatedVersion="8" minRefreshableVersion="3" useAutoFormatting="1" itemPrintTitles="1" createdVersion="8" indent="0" outline="1" outlineData="1" multipleFieldFilters="0">
  <location ref="A4:G24" firstHeaderRow="1" firstDataRow="2" firstDataCol="1" rowPageCount="2" colPageCount="1"/>
  <pivotFields count="7">
    <pivotField axis="axisPage" multipleItemSelectionAllowed="1" showAll="0">
      <items count="89">
        <item h="1" x="1"/>
        <item h="1" x="44"/>
        <item h="1" x="46"/>
        <item h="1" x="31"/>
        <item h="1" x="21"/>
        <item h="1" x="23"/>
        <item h="1" x="25"/>
        <item h="1" x="3"/>
        <item h="1" x="5"/>
        <item h="1" x="49"/>
        <item h="1" x="52"/>
        <item h="1" x="32"/>
        <item h="1" x="7"/>
        <item h="1" x="58"/>
        <item h="1" x="65"/>
        <item h="1" x="14"/>
        <item h="1" x="37"/>
        <item h="1" x="11"/>
        <item h="1" x="39"/>
        <item h="1" x="54"/>
        <item h="1" x="18"/>
        <item h="1" x="26"/>
        <item h="1" x="34"/>
        <item h="1" x="67"/>
        <item h="1" x="62"/>
        <item h="1" x="28"/>
        <item h="1" x="77"/>
        <item h="1" x="41"/>
        <item h="1" x="0"/>
        <item h="1" x="45"/>
        <item h="1" x="47"/>
        <item h="1" x="30"/>
        <item h="1" x="79"/>
        <item h="1" x="20"/>
        <item h="1" x="22"/>
        <item h="1" x="24"/>
        <item h="1" x="2"/>
        <item h="1" x="4"/>
        <item h="1" x="48"/>
        <item h="1" x="53"/>
        <item h="1" x="33"/>
        <item h="1" x="9"/>
        <item h="1" x="59"/>
        <item h="1" x="66"/>
        <item h="1" x="17"/>
        <item h="1" x="38"/>
        <item h="1" x="13"/>
        <item h="1" x="40"/>
        <item h="1" x="56"/>
        <item h="1" x="19"/>
        <item h="1" x="27"/>
        <item h="1" x="35"/>
        <item h="1" x="68"/>
        <item h="1" x="63"/>
        <item h="1" x="29"/>
        <item h="1" x="86"/>
        <item h="1" x="43"/>
        <item x="87"/>
        <item x="70"/>
        <item x="71"/>
        <item x="72"/>
        <item x="74"/>
        <item x="73"/>
        <item x="6"/>
        <item x="82"/>
        <item x="51"/>
        <item x="55"/>
        <item x="8"/>
        <item x="16"/>
        <item x="64"/>
        <item x="69"/>
        <item x="15"/>
        <item x="61"/>
        <item x="12"/>
        <item x="50"/>
        <item x="57"/>
        <item x="36"/>
        <item x="85"/>
        <item x="76"/>
        <item x="84"/>
        <item x="83"/>
        <item x="60"/>
        <item x="75"/>
        <item x="42"/>
        <item h="1" x="78"/>
        <item h="1" x="80"/>
        <item h="1" x="81"/>
        <item h="1" x="10"/>
        <item t="default"/>
      </items>
    </pivotField>
    <pivotField showAll="0"/>
    <pivotField axis="axisPage" showAll="0">
      <items count="5">
        <item x="1"/>
        <item x="3"/>
        <item x="0"/>
        <item x="2"/>
        <item t="default"/>
      </items>
    </pivotField>
    <pivotField showAll="0">
      <items count="25">
        <item x="0"/>
        <item x="1"/>
        <item x="2"/>
        <item x="3"/>
        <item x="6"/>
        <item x="7"/>
        <item x="14"/>
        <item x="9"/>
        <item x="10"/>
        <item x="4"/>
        <item x="13"/>
        <item x="15"/>
        <item x="11"/>
        <item x="16"/>
        <item x="17"/>
        <item x="23"/>
        <item x="19"/>
        <item x="22"/>
        <item x="8"/>
        <item x="20"/>
        <item x="18"/>
        <item x="21"/>
        <item x="12"/>
        <item x="5"/>
        <item t="default"/>
      </items>
    </pivotField>
    <pivotField dataField="1" showAll="0"/>
    <pivotField axis="axisRow" showAll="0">
      <items count="25">
        <item x="22"/>
        <item x="6"/>
        <item x="18"/>
        <item x="9"/>
        <item x="15"/>
        <item x="14"/>
        <item x="23"/>
        <item x="12"/>
        <item x="19"/>
        <item x="21"/>
        <item x="8"/>
        <item x="16"/>
        <item x="13"/>
        <item x="7"/>
        <item x="11"/>
        <item x="17"/>
        <item x="0"/>
        <item x="4"/>
        <item x="3"/>
        <item x="2"/>
        <item x="1"/>
        <item x="20"/>
        <item x="10"/>
        <item x="5"/>
        <item t="default"/>
      </items>
    </pivotField>
    <pivotField axis="axisCol" showAll="0">
      <items count="7">
        <item x="4"/>
        <item x="2"/>
        <item x="1"/>
        <item x="5"/>
        <item x="0"/>
        <item x="3"/>
        <item t="default"/>
      </items>
    </pivotField>
  </pivotFields>
  <rowFields count="1">
    <field x="5"/>
  </rowFields>
  <rowItems count="19">
    <i>
      <x/>
    </i>
    <i>
      <x v="1"/>
    </i>
    <i>
      <x v="2"/>
    </i>
    <i>
      <x v="3"/>
    </i>
    <i>
      <x v="4"/>
    </i>
    <i>
      <x v="5"/>
    </i>
    <i>
      <x v="6"/>
    </i>
    <i>
      <x v="7"/>
    </i>
    <i>
      <x v="8"/>
    </i>
    <i>
      <x v="9"/>
    </i>
    <i>
      <x v="10"/>
    </i>
    <i>
      <x v="12"/>
    </i>
    <i>
      <x v="14"/>
    </i>
    <i>
      <x v="15"/>
    </i>
    <i>
      <x v="17"/>
    </i>
    <i>
      <x v="18"/>
    </i>
    <i>
      <x v="19"/>
    </i>
    <i>
      <x v="21"/>
    </i>
    <i t="grand">
      <x/>
    </i>
  </rowItems>
  <colFields count="1">
    <field x="6"/>
  </colFields>
  <colItems count="6">
    <i>
      <x/>
    </i>
    <i>
      <x v="1"/>
    </i>
    <i>
      <x v="2"/>
    </i>
    <i>
      <x v="3"/>
    </i>
    <i>
      <x v="4"/>
    </i>
    <i t="grand">
      <x/>
    </i>
  </colItems>
  <pageFields count="2">
    <pageField fld="2" item="0" hier="-1"/>
    <pageField fld="0" hier="-1"/>
  </pageFields>
  <dataFields count="1">
    <dataField name="Součet z K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FAE83-09A2-443A-8D66-80B5429D79E2}" name="Prodeje" displayName="Prodeje" ref="B3:H323" totalsRowCount="1">
  <autoFilter ref="B3:H322" xr:uid="{D24FAE83-09A2-443A-8D66-80B5429D79E2}">
    <filterColumn colId="0">
      <filters>
        <dateGroupItem year="2025" month="9" dateTimeGrouping="month"/>
      </filters>
    </filterColumn>
    <filterColumn colId="2">
      <filters>
        <filter val="SG III"/>
      </filters>
    </filterColumn>
  </autoFilter>
  <tableColumns count="7">
    <tableColumn id="1" xr3:uid="{BC2FF813-E10A-4C79-A66F-2E1701A6682F}" name="Datum" dataDxfId="15" totalsRowDxfId="2"/>
    <tableColumn id="2" xr3:uid="{FBBD3E3D-83E4-42C4-B62C-587AF12FF959}" name="ID prodeje"/>
    <tableColumn id="3" xr3:uid="{F889040D-1CDA-4576-8CDB-2AD69E6AC82B}" name="Produkt"/>
    <tableColumn id="4" xr3:uid="{BFF8DDB3-6AD3-49F3-BFB6-C9DB0184928D}" name="Prodejce"/>
    <tableColumn id="5" xr3:uid="{3A69A524-0E56-4DFA-9FCF-C736AB070C45}" name="Ks" totalsRowFunction="sum"/>
    <tableColumn id="6" xr3:uid="{223DBE80-B730-4381-AADA-BE3444C73E33}" name="Jméno prodejce" dataDxfId="9" totalsRowDxfId="1">
      <calculatedColumnFormula>_xlfn.XLOOKUP(Prodeje[[#This Row],[Prodejce]],Obchodnici[Kód prodejce],Obchodnici[Jméno])</calculatedColumnFormula>
    </tableColumn>
    <tableColumn id="7" xr3:uid="{AFF5A711-D72A-4060-918D-26612454F5D8}" name="Region prodejce" dataDxfId="8" totalsRowDxfId="0">
      <calculatedColumnFormula>_xlfn.XLOOKUP(Prodeje[[#This Row],[Prodejce]],Obchodnici[Kód prodejce],Obchodnici[Region])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D29C91-8F7E-4132-B12A-52F5DADA5733}" name="Obchodnici" displayName="Obchodnici" ref="A2:E46" totalsRowShown="0">
  <autoFilter ref="A2:E46" xr:uid="{BFD29C91-8F7E-4132-B12A-52F5DADA5733}">
    <filterColumn colId="2">
      <filters>
        <filter val="Praha"/>
      </filters>
    </filterColumn>
    <filterColumn colId="4">
      <filters>
        <filter val="PRAVDA"/>
      </filters>
    </filterColumn>
  </autoFilter>
  <sortState xmlns:xlrd2="http://schemas.microsoft.com/office/spreadsheetml/2017/richdata2" ref="A3:E46">
    <sortCondition ref="D2:D46"/>
  </sortState>
  <tableColumns count="5">
    <tableColumn id="1" xr3:uid="{9483DC0A-C9BF-4629-8230-6413D600596A}" name="Kód prodejce" dataDxfId="14"/>
    <tableColumn id="2" xr3:uid="{805C301A-B479-465D-9F99-7EA3C452F831}" name="Jméno" dataDxfId="13"/>
    <tableColumn id="3" xr3:uid="{607671F1-0CD2-4DC3-A9C2-3DC7A5E8FD74}" name="Region"/>
    <tableColumn id="4" xr3:uid="{701785A0-BC98-417A-A3EB-9A6CE5F54B5E}" name="nástup" dataDxfId="12"/>
    <tableColumn id="5" xr3:uid="{D812F79E-E5F9-4986-AD3C-67B98B21C708}" name="nástup dřív než 1. září" dataDxfId="7">
      <calculatedColumnFormula>Obchodnici[[#This Row],[nástup]]&lt;=DATE(2025,9,1)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0E30B5-F6C3-403B-B507-232E8AFF1161}" name="Produkty" displayName="Produkty" ref="B9:D12" totalsRowShown="0">
  <autoFilter ref="B9:D12" xr:uid="{530E30B5-F6C3-403B-B507-232E8AFF1161}"/>
  <tableColumns count="3">
    <tableColumn id="1" xr3:uid="{F2D0F202-08F9-4837-8369-D114ECEF5694}" name="Sprchový gel"/>
    <tableColumn id="2" xr3:uid="{1A7E3E61-6F2F-42FA-8BCE-49B058EF9FD5}" name="Objem" dataDxfId="11"/>
    <tableColumn id="3" xr3:uid="{1BD5CE89-F7AA-4C42-B0D6-625771573334}" name="Prodejní cena" dataDxfId="10"/>
  </tableColumns>
  <tableStyleInfo name="TableStyleMedium2" showFirstColumn="0" showLastColumn="0" showRowStripes="1" showColumnStripes="0"/>
</table>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B7B3-8535-49E5-AC00-B3E2C2B58E84}">
  <sheetPr>
    <tabColor rgb="FFFFFF00"/>
  </sheetPr>
  <dimension ref="B3:Y13"/>
  <sheetViews>
    <sheetView showGridLines="0" zoomScale="71" workbookViewId="0">
      <selection activeCell="B3" sqref="B3:Y13"/>
    </sheetView>
  </sheetViews>
  <sheetFormatPr defaultColWidth="9.140625" defaultRowHeight="23.25" x14ac:dyDescent="0.35"/>
  <cols>
    <col min="1" max="16384" width="9.140625" style="8"/>
  </cols>
  <sheetData>
    <row r="3" spans="2:25" ht="19.5" customHeight="1" x14ac:dyDescent="0.35">
      <c r="B3" s="9" t="s">
        <v>399</v>
      </c>
      <c r="C3" s="9"/>
      <c r="D3" s="9"/>
      <c r="E3" s="9"/>
      <c r="F3" s="9"/>
      <c r="G3" s="9"/>
      <c r="H3" s="9"/>
      <c r="I3" s="9"/>
      <c r="J3" s="9"/>
      <c r="K3" s="9"/>
      <c r="L3" s="9"/>
      <c r="M3" s="9"/>
      <c r="N3" s="9"/>
      <c r="O3" s="9"/>
      <c r="P3" s="9"/>
      <c r="Q3" s="9"/>
      <c r="R3" s="9"/>
      <c r="S3" s="9"/>
      <c r="T3" s="9"/>
      <c r="U3" s="9"/>
      <c r="V3" s="9"/>
      <c r="W3" s="9"/>
      <c r="X3" s="9"/>
      <c r="Y3" s="9"/>
    </row>
    <row r="4" spans="2:25" ht="8.25" customHeight="1" x14ac:dyDescent="0.35">
      <c r="B4" s="9"/>
      <c r="C4" s="9"/>
      <c r="D4" s="9"/>
      <c r="E4" s="9"/>
      <c r="F4" s="9"/>
      <c r="G4" s="9"/>
      <c r="H4" s="9"/>
      <c r="I4" s="9"/>
      <c r="J4" s="9"/>
      <c r="K4" s="9"/>
      <c r="L4" s="9"/>
      <c r="M4" s="9"/>
      <c r="N4" s="9"/>
      <c r="O4" s="9"/>
      <c r="P4" s="9"/>
      <c r="Q4" s="9"/>
      <c r="R4" s="9"/>
      <c r="S4" s="9"/>
      <c r="T4" s="9"/>
      <c r="U4" s="9"/>
      <c r="V4" s="9"/>
      <c r="W4" s="9"/>
      <c r="X4" s="9"/>
      <c r="Y4" s="9"/>
    </row>
    <row r="5" spans="2:25" ht="127.5" customHeight="1" x14ac:dyDescent="0.35">
      <c r="B5" s="9"/>
      <c r="C5" s="9"/>
      <c r="D5" s="9"/>
      <c r="E5" s="9"/>
      <c r="F5" s="9"/>
      <c r="G5" s="9"/>
      <c r="H5" s="9"/>
      <c r="I5" s="9"/>
      <c r="J5" s="9"/>
      <c r="K5" s="9"/>
      <c r="L5" s="9"/>
      <c r="M5" s="9"/>
      <c r="N5" s="9"/>
      <c r="O5" s="9"/>
      <c r="P5" s="9"/>
      <c r="Q5" s="9"/>
      <c r="R5" s="9"/>
      <c r="S5" s="9"/>
      <c r="T5" s="9"/>
      <c r="U5" s="9"/>
      <c r="V5" s="9"/>
      <c r="W5" s="9"/>
      <c r="X5" s="9"/>
      <c r="Y5" s="9"/>
    </row>
    <row r="6" spans="2:25" ht="9.75" customHeight="1" x14ac:dyDescent="0.35">
      <c r="B6" s="9"/>
      <c r="C6" s="9"/>
      <c r="D6" s="9"/>
      <c r="E6" s="9"/>
      <c r="F6" s="9"/>
      <c r="G6" s="9"/>
      <c r="H6" s="9"/>
      <c r="I6" s="9"/>
      <c r="J6" s="9"/>
      <c r="K6" s="9"/>
      <c r="L6" s="9"/>
      <c r="M6" s="9"/>
      <c r="N6" s="9"/>
      <c r="O6" s="9"/>
      <c r="P6" s="9"/>
      <c r="Q6" s="9"/>
      <c r="R6" s="9"/>
      <c r="S6" s="9"/>
      <c r="T6" s="9"/>
      <c r="U6" s="9"/>
      <c r="V6" s="9"/>
      <c r="W6" s="9"/>
      <c r="X6" s="9"/>
      <c r="Y6" s="9"/>
    </row>
    <row r="7" spans="2:25" ht="69" customHeight="1" x14ac:dyDescent="0.35">
      <c r="B7" s="9"/>
      <c r="C7" s="9"/>
      <c r="D7" s="9"/>
      <c r="E7" s="9"/>
      <c r="F7" s="9"/>
      <c r="G7" s="9"/>
      <c r="H7" s="9"/>
      <c r="I7" s="9"/>
      <c r="J7" s="9"/>
      <c r="K7" s="9"/>
      <c r="L7" s="9"/>
      <c r="M7" s="9"/>
      <c r="N7" s="9"/>
      <c r="O7" s="9"/>
      <c r="P7" s="9"/>
      <c r="Q7" s="9"/>
      <c r="R7" s="9"/>
      <c r="S7" s="9"/>
      <c r="T7" s="9"/>
      <c r="U7" s="9"/>
      <c r="V7" s="9"/>
      <c r="W7" s="9"/>
      <c r="X7" s="9"/>
      <c r="Y7" s="9"/>
    </row>
    <row r="8" spans="2:25" ht="31.5" customHeight="1" x14ac:dyDescent="0.35">
      <c r="B8" s="9"/>
      <c r="C8" s="9"/>
      <c r="D8" s="9"/>
      <c r="E8" s="9"/>
      <c r="F8" s="9"/>
      <c r="G8" s="9"/>
      <c r="H8" s="9"/>
      <c r="I8" s="9"/>
      <c r="J8" s="9"/>
      <c r="K8" s="9"/>
      <c r="L8" s="9"/>
      <c r="M8" s="9"/>
      <c r="N8" s="9"/>
      <c r="O8" s="9"/>
      <c r="P8" s="9"/>
      <c r="Q8" s="9"/>
      <c r="R8" s="9"/>
      <c r="S8" s="9"/>
      <c r="T8" s="9"/>
      <c r="U8" s="9"/>
      <c r="V8" s="9"/>
      <c r="W8" s="9"/>
      <c r="X8" s="9"/>
      <c r="Y8" s="9"/>
    </row>
    <row r="9" spans="2:25" ht="31.5" customHeight="1" x14ac:dyDescent="0.35">
      <c r="B9" s="9"/>
      <c r="C9" s="9"/>
      <c r="D9" s="9"/>
      <c r="E9" s="9"/>
      <c r="F9" s="9"/>
      <c r="G9" s="9"/>
      <c r="H9" s="9"/>
      <c r="I9" s="9"/>
      <c r="J9" s="9"/>
      <c r="K9" s="9"/>
      <c r="L9" s="9"/>
      <c r="M9" s="9"/>
      <c r="N9" s="9"/>
      <c r="O9" s="9"/>
      <c r="P9" s="9"/>
      <c r="Q9" s="9"/>
      <c r="R9" s="9"/>
      <c r="S9" s="9"/>
      <c r="T9" s="9"/>
      <c r="U9" s="9"/>
      <c r="V9" s="9"/>
      <c r="W9" s="9"/>
      <c r="X9" s="9"/>
      <c r="Y9" s="9"/>
    </row>
    <row r="10" spans="2:25" ht="15" customHeight="1" x14ac:dyDescent="0.35">
      <c r="B10" s="9"/>
      <c r="C10" s="9"/>
      <c r="D10" s="9"/>
      <c r="E10" s="9"/>
      <c r="F10" s="9"/>
      <c r="G10" s="9"/>
      <c r="H10" s="9"/>
      <c r="I10" s="9"/>
      <c r="J10" s="9"/>
      <c r="K10" s="9"/>
      <c r="L10" s="9"/>
      <c r="M10" s="9"/>
      <c r="N10" s="9"/>
      <c r="O10" s="9"/>
      <c r="P10" s="9"/>
      <c r="Q10" s="9"/>
      <c r="R10" s="9"/>
      <c r="S10" s="9"/>
      <c r="T10" s="9"/>
      <c r="U10" s="9"/>
      <c r="V10" s="9"/>
      <c r="W10" s="9"/>
      <c r="X10" s="9"/>
      <c r="Y10" s="9"/>
    </row>
    <row r="11" spans="2:25" ht="15" customHeight="1" x14ac:dyDescent="0.35">
      <c r="B11" s="9"/>
      <c r="C11" s="9"/>
      <c r="D11" s="9"/>
      <c r="E11" s="9"/>
      <c r="F11" s="9"/>
      <c r="G11" s="9"/>
      <c r="H11" s="9"/>
      <c r="I11" s="9"/>
      <c r="J11" s="9"/>
      <c r="K11" s="9"/>
      <c r="L11" s="9"/>
      <c r="M11" s="9"/>
      <c r="N11" s="9"/>
      <c r="O11" s="9"/>
      <c r="P11" s="9"/>
      <c r="Q11" s="9"/>
      <c r="R11" s="9"/>
      <c r="S11" s="9"/>
      <c r="T11" s="9"/>
      <c r="U11" s="9"/>
      <c r="V11" s="9"/>
      <c r="W11" s="9"/>
      <c r="X11" s="9"/>
      <c r="Y11" s="9"/>
    </row>
    <row r="12" spans="2:25" ht="15" customHeight="1" x14ac:dyDescent="0.35">
      <c r="B12" s="9"/>
      <c r="C12" s="9"/>
      <c r="D12" s="9"/>
      <c r="E12" s="9"/>
      <c r="F12" s="9"/>
      <c r="G12" s="9"/>
      <c r="H12" s="9"/>
      <c r="I12" s="9"/>
      <c r="J12" s="9"/>
      <c r="K12" s="9"/>
      <c r="L12" s="9"/>
      <c r="M12" s="9"/>
      <c r="N12" s="9"/>
      <c r="O12" s="9"/>
      <c r="P12" s="9"/>
      <c r="Q12" s="9"/>
      <c r="R12" s="9"/>
      <c r="S12" s="9"/>
      <c r="T12" s="9"/>
      <c r="U12" s="9"/>
      <c r="V12" s="9"/>
      <c r="W12" s="9"/>
      <c r="X12" s="9"/>
      <c r="Y12" s="9"/>
    </row>
    <row r="13" spans="2:25" ht="15" customHeight="1" x14ac:dyDescent="0.35">
      <c r="B13" s="9"/>
      <c r="C13" s="9"/>
      <c r="D13" s="9"/>
      <c r="E13" s="9"/>
      <c r="F13" s="9"/>
      <c r="G13" s="9"/>
      <c r="H13" s="9"/>
      <c r="I13" s="9"/>
      <c r="J13" s="9"/>
      <c r="K13" s="9"/>
      <c r="L13" s="9"/>
      <c r="M13" s="9"/>
      <c r="N13" s="9"/>
      <c r="O13" s="9"/>
      <c r="P13" s="9"/>
      <c r="Q13" s="9"/>
      <c r="R13" s="9"/>
      <c r="S13" s="9"/>
      <c r="T13" s="9"/>
      <c r="U13" s="9"/>
      <c r="V13" s="9"/>
      <c r="W13" s="9"/>
      <c r="X13" s="9"/>
      <c r="Y13" s="9"/>
    </row>
  </sheetData>
  <mergeCells count="1">
    <mergeCell ref="B3:Y1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7C7FA-1935-4035-B6E5-E936E4EA4D8C}">
  <dimension ref="A1:G24"/>
  <sheetViews>
    <sheetView tabSelected="1" workbookViewId="0">
      <selection activeCell="O21" sqref="O21"/>
    </sheetView>
  </sheetViews>
  <sheetFormatPr defaultRowHeight="15" x14ac:dyDescent="0.25"/>
  <cols>
    <col min="1" max="1" width="15.7109375" bestFit="1" customWidth="1"/>
    <col min="2" max="2" width="17.5703125" bestFit="1" customWidth="1"/>
    <col min="3" max="3" width="6" bestFit="1" customWidth="1"/>
    <col min="4" max="4" width="13.5703125" bestFit="1" customWidth="1"/>
    <col min="5" max="5" width="15.140625" bestFit="1" customWidth="1"/>
    <col min="6" max="6" width="13.85546875" bestFit="1" customWidth="1"/>
    <col min="7" max="7" width="14.42578125" bestFit="1" customWidth="1"/>
  </cols>
  <sheetData>
    <row r="1" spans="1:7" x14ac:dyDescent="0.25">
      <c r="A1" s="11" t="s">
        <v>2</v>
      </c>
      <c r="B1" t="s">
        <v>81</v>
      </c>
    </row>
    <row r="2" spans="1:7" x14ac:dyDescent="0.25">
      <c r="A2" s="11" t="s">
        <v>0</v>
      </c>
      <c r="B2" t="s">
        <v>444</v>
      </c>
    </row>
    <row r="4" spans="1:7" x14ac:dyDescent="0.25">
      <c r="A4" s="11" t="s">
        <v>442</v>
      </c>
      <c r="B4" s="11" t="s">
        <v>443</v>
      </c>
    </row>
    <row r="5" spans="1:7" x14ac:dyDescent="0.25">
      <c r="A5" s="11" t="s">
        <v>440</v>
      </c>
      <c r="B5" t="s">
        <v>38</v>
      </c>
      <c r="C5" t="s">
        <v>32</v>
      </c>
      <c r="D5" t="s">
        <v>34</v>
      </c>
      <c r="E5" t="s">
        <v>52</v>
      </c>
      <c r="F5" t="s">
        <v>47</v>
      </c>
      <c r="G5" t="s">
        <v>441</v>
      </c>
    </row>
    <row r="6" spans="1:7" x14ac:dyDescent="0.25">
      <c r="A6" s="12" t="s">
        <v>54</v>
      </c>
      <c r="B6" s="13">
        <v>2</v>
      </c>
      <c r="C6" s="13"/>
      <c r="D6" s="13"/>
      <c r="E6" s="13"/>
      <c r="F6" s="13"/>
      <c r="G6" s="13">
        <v>2</v>
      </c>
    </row>
    <row r="7" spans="1:7" x14ac:dyDescent="0.25">
      <c r="A7" s="12" t="s">
        <v>40</v>
      </c>
      <c r="B7" s="13"/>
      <c r="C7" s="13"/>
      <c r="D7" s="13">
        <v>2</v>
      </c>
      <c r="E7" s="13"/>
      <c r="F7" s="13"/>
      <c r="G7" s="13">
        <v>2</v>
      </c>
    </row>
    <row r="8" spans="1:7" x14ac:dyDescent="0.25">
      <c r="A8" s="12" t="s">
        <v>58</v>
      </c>
      <c r="B8" s="13"/>
      <c r="C8" s="13"/>
      <c r="D8" s="13">
        <v>2</v>
      </c>
      <c r="E8" s="13"/>
      <c r="F8" s="13"/>
      <c r="G8" s="13">
        <v>2</v>
      </c>
    </row>
    <row r="9" spans="1:7" x14ac:dyDescent="0.25">
      <c r="A9" s="12" t="s">
        <v>407</v>
      </c>
      <c r="B9" s="13"/>
      <c r="C9" s="13">
        <v>1</v>
      </c>
      <c r="D9" s="13"/>
      <c r="E9" s="13"/>
      <c r="F9" s="13"/>
      <c r="G9" s="13">
        <v>1</v>
      </c>
    </row>
    <row r="10" spans="1:7" x14ac:dyDescent="0.25">
      <c r="A10" s="12" t="s">
        <v>46</v>
      </c>
      <c r="B10" s="13"/>
      <c r="C10" s="13"/>
      <c r="D10" s="13"/>
      <c r="E10" s="13"/>
      <c r="F10" s="13">
        <v>1</v>
      </c>
      <c r="G10" s="13">
        <v>1</v>
      </c>
    </row>
    <row r="11" spans="1:7" x14ac:dyDescent="0.25">
      <c r="A11" s="12" t="s">
        <v>45</v>
      </c>
      <c r="B11" s="13">
        <v>1</v>
      </c>
      <c r="C11" s="13"/>
      <c r="D11" s="13"/>
      <c r="E11" s="13"/>
      <c r="F11" s="13"/>
      <c r="G11" s="13">
        <v>1</v>
      </c>
    </row>
    <row r="12" spans="1:7" x14ac:dyDescent="0.25">
      <c r="A12" s="12" t="s">
        <v>51</v>
      </c>
      <c r="B12" s="13"/>
      <c r="C12" s="13"/>
      <c r="D12" s="13"/>
      <c r="E12" s="13">
        <v>1</v>
      </c>
      <c r="F12" s="13"/>
      <c r="G12" s="13">
        <v>1</v>
      </c>
    </row>
    <row r="13" spans="1:7" x14ac:dyDescent="0.25">
      <c r="A13" s="12" t="s">
        <v>63</v>
      </c>
      <c r="B13" s="13"/>
      <c r="C13" s="13">
        <v>3</v>
      </c>
      <c r="D13" s="13"/>
      <c r="E13" s="13"/>
      <c r="F13" s="13"/>
      <c r="G13" s="13">
        <v>3</v>
      </c>
    </row>
    <row r="14" spans="1:7" x14ac:dyDescent="0.25">
      <c r="A14" s="12" t="s">
        <v>53</v>
      </c>
      <c r="B14" s="13"/>
      <c r="C14" s="13">
        <v>1</v>
      </c>
      <c r="D14" s="13"/>
      <c r="E14" s="13"/>
      <c r="F14" s="13"/>
      <c r="G14" s="13">
        <v>1</v>
      </c>
    </row>
    <row r="15" spans="1:7" x14ac:dyDescent="0.25">
      <c r="A15" s="12" t="s">
        <v>60</v>
      </c>
      <c r="B15" s="13"/>
      <c r="C15" s="13"/>
      <c r="D15" s="13"/>
      <c r="E15" s="13"/>
      <c r="F15" s="13">
        <v>1</v>
      </c>
      <c r="G15" s="13">
        <v>1</v>
      </c>
    </row>
    <row r="16" spans="1:7" x14ac:dyDescent="0.25">
      <c r="A16" s="12" t="s">
        <v>56</v>
      </c>
      <c r="B16" s="13"/>
      <c r="C16" s="13"/>
      <c r="D16" s="13"/>
      <c r="E16" s="13">
        <v>3</v>
      </c>
      <c r="F16" s="13"/>
      <c r="G16" s="13">
        <v>3</v>
      </c>
    </row>
    <row r="17" spans="1:7" x14ac:dyDescent="0.25">
      <c r="A17" s="12" t="s">
        <v>42</v>
      </c>
      <c r="B17" s="13"/>
      <c r="C17" s="13"/>
      <c r="D17" s="13">
        <v>3</v>
      </c>
      <c r="E17" s="13"/>
      <c r="F17" s="13"/>
      <c r="G17" s="13">
        <v>3</v>
      </c>
    </row>
    <row r="18" spans="1:7" x14ac:dyDescent="0.25">
      <c r="A18" s="12" t="s">
        <v>48</v>
      </c>
      <c r="B18" s="13"/>
      <c r="C18" s="13">
        <v>3</v>
      </c>
      <c r="D18" s="13"/>
      <c r="E18" s="13"/>
      <c r="F18" s="13"/>
      <c r="G18" s="13">
        <v>3</v>
      </c>
    </row>
    <row r="19" spans="1:7" x14ac:dyDescent="0.25">
      <c r="A19" s="12" t="s">
        <v>50</v>
      </c>
      <c r="B19" s="13"/>
      <c r="C19" s="13"/>
      <c r="D19" s="13">
        <v>2</v>
      </c>
      <c r="E19" s="13"/>
      <c r="F19" s="13"/>
      <c r="G19" s="13">
        <v>2</v>
      </c>
    </row>
    <row r="20" spans="1:7" x14ac:dyDescent="0.25">
      <c r="A20" s="12" t="s">
        <v>404</v>
      </c>
      <c r="B20" s="13"/>
      <c r="C20" s="13">
        <v>4</v>
      </c>
      <c r="D20" s="13"/>
      <c r="E20" s="13"/>
      <c r="F20" s="13"/>
      <c r="G20" s="13">
        <v>4</v>
      </c>
    </row>
    <row r="21" spans="1:7" x14ac:dyDescent="0.25">
      <c r="A21" s="12" t="s">
        <v>39</v>
      </c>
      <c r="B21" s="13"/>
      <c r="C21" s="13">
        <v>3</v>
      </c>
      <c r="D21" s="13"/>
      <c r="E21" s="13"/>
      <c r="F21" s="13"/>
      <c r="G21" s="13">
        <v>3</v>
      </c>
    </row>
    <row r="22" spans="1:7" x14ac:dyDescent="0.25">
      <c r="A22" s="12" t="s">
        <v>35</v>
      </c>
      <c r="B22" s="13"/>
      <c r="C22" s="13">
        <v>1</v>
      </c>
      <c r="D22" s="13"/>
      <c r="E22" s="13"/>
      <c r="F22" s="13"/>
      <c r="G22" s="13">
        <v>1</v>
      </c>
    </row>
    <row r="23" spans="1:7" x14ac:dyDescent="0.25">
      <c r="A23" s="12" t="s">
        <v>57</v>
      </c>
      <c r="B23" s="13"/>
      <c r="C23" s="13">
        <v>3</v>
      </c>
      <c r="D23" s="13"/>
      <c r="E23" s="13"/>
      <c r="F23" s="13"/>
      <c r="G23" s="13">
        <v>3</v>
      </c>
    </row>
    <row r="24" spans="1:7" x14ac:dyDescent="0.25">
      <c r="A24" s="12" t="s">
        <v>441</v>
      </c>
      <c r="B24" s="13">
        <v>3</v>
      </c>
      <c r="C24" s="13">
        <v>19</v>
      </c>
      <c r="D24" s="13">
        <v>9</v>
      </c>
      <c r="E24" s="13">
        <v>4</v>
      </c>
      <c r="F24" s="13">
        <v>2</v>
      </c>
      <c r="G24" s="13">
        <v>37</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620C-10C3-4EB8-BB30-78B6EC995ACF}">
  <dimension ref="B3:N323"/>
  <sheetViews>
    <sheetView zoomScale="130" zoomScaleNormal="130" workbookViewId="0">
      <pane ySplit="3" topLeftCell="A12" activePane="bottomLeft" state="frozen"/>
      <selection pane="bottomLeft" activeCell="F323" sqref="F323"/>
    </sheetView>
  </sheetViews>
  <sheetFormatPr defaultRowHeight="15" x14ac:dyDescent="0.25"/>
  <cols>
    <col min="2" max="2" width="14.7109375" customWidth="1"/>
    <col min="3" max="3" width="19" customWidth="1"/>
    <col min="4" max="4" width="9.28515625" customWidth="1"/>
    <col min="5" max="5" width="10.140625" customWidth="1"/>
    <col min="6" max="6" width="8" customWidth="1"/>
    <col min="7" max="7" width="17.5703125" bestFit="1" customWidth="1"/>
    <col min="8" max="8" width="17.85546875" bestFit="1" customWidth="1"/>
  </cols>
  <sheetData>
    <row r="3" spans="2:10" x14ac:dyDescent="0.25">
      <c r="B3" t="s">
        <v>0</v>
      </c>
      <c r="C3" t="s">
        <v>1</v>
      </c>
      <c r="D3" t="s">
        <v>2</v>
      </c>
      <c r="E3" t="s">
        <v>3</v>
      </c>
      <c r="F3" t="s">
        <v>4</v>
      </c>
      <c r="G3" t="s">
        <v>434</v>
      </c>
      <c r="H3" t="s">
        <v>435</v>
      </c>
    </row>
    <row r="4" spans="2:10" hidden="1" x14ac:dyDescent="0.25">
      <c r="B4" s="1">
        <v>45870</v>
      </c>
      <c r="C4" t="s">
        <v>83</v>
      </c>
      <c r="D4" t="s">
        <v>80</v>
      </c>
      <c r="E4" t="s">
        <v>5</v>
      </c>
      <c r="F4">
        <v>1</v>
      </c>
      <c r="G4" t="str">
        <f>_xlfn.XLOOKUP(Prodeje[[#This Row],[Prodejce]],Obchodnici[Kód prodejce],Obchodnici[Jméno])</f>
        <v>Novák</v>
      </c>
      <c r="H4" t="str">
        <f>_xlfn.XLOOKUP(Prodeje[[#This Row],[Prodejce]],Obchodnici[Kód prodejce],Obchodnici[Region])</f>
        <v>Západní Čechy</v>
      </c>
    </row>
    <row r="5" spans="2:10" hidden="1" x14ac:dyDescent="0.25">
      <c r="B5" s="1">
        <v>45839</v>
      </c>
      <c r="C5" t="s">
        <v>84</v>
      </c>
      <c r="D5" t="s">
        <v>80</v>
      </c>
      <c r="E5" t="s">
        <v>5</v>
      </c>
      <c r="F5">
        <v>1</v>
      </c>
      <c r="G5" t="str">
        <f>_xlfn.XLOOKUP(Prodeje[[#This Row],[Prodejce]],Obchodnici[Kód prodejce],Obchodnici[Jméno])</f>
        <v>Novák</v>
      </c>
      <c r="H5" t="str">
        <f>_xlfn.XLOOKUP(Prodeje[[#This Row],[Prodejce]],Obchodnici[Kód prodejce],Obchodnici[Region])</f>
        <v>Západní Čechy</v>
      </c>
    </row>
    <row r="6" spans="2:10" hidden="1" x14ac:dyDescent="0.25">
      <c r="B6" s="1">
        <v>45870</v>
      </c>
      <c r="C6" t="s">
        <v>85</v>
      </c>
      <c r="D6" t="s">
        <v>80</v>
      </c>
      <c r="E6" t="s">
        <v>6</v>
      </c>
      <c r="F6">
        <v>1</v>
      </c>
      <c r="G6" t="str">
        <f>_xlfn.XLOOKUP(Prodeje[[#This Row],[Prodejce]],Obchodnici[Kód prodejce],Obchodnici[Jméno])</f>
        <v>Vodička</v>
      </c>
      <c r="H6" t="str">
        <f>_xlfn.XLOOKUP(Prodeje[[#This Row],[Prodejce]],Obchodnici[Kód prodejce],Obchodnici[Region])</f>
        <v>Severní Čechy</v>
      </c>
    </row>
    <row r="7" spans="2:10" hidden="1" x14ac:dyDescent="0.25">
      <c r="B7" s="1">
        <v>45839</v>
      </c>
      <c r="C7" t="s">
        <v>86</v>
      </c>
      <c r="D7" t="s">
        <v>80</v>
      </c>
      <c r="E7" t="s">
        <v>6</v>
      </c>
      <c r="F7">
        <v>1</v>
      </c>
      <c r="G7" t="str">
        <f>_xlfn.XLOOKUP(Prodeje[[#This Row],[Prodejce]],Obchodnici[Kód prodejce],Obchodnici[Jméno])</f>
        <v>Vodička</v>
      </c>
      <c r="H7" t="str">
        <f>_xlfn.XLOOKUP(Prodeje[[#This Row],[Prodejce]],Obchodnici[Kód prodejce],Obchodnici[Region])</f>
        <v>Severní Čechy</v>
      </c>
    </row>
    <row r="8" spans="2:10" hidden="1" x14ac:dyDescent="0.25">
      <c r="B8" s="1">
        <v>45878</v>
      </c>
      <c r="C8" t="s">
        <v>87</v>
      </c>
      <c r="D8" t="s">
        <v>80</v>
      </c>
      <c r="E8" t="s">
        <v>6</v>
      </c>
      <c r="F8">
        <v>1</v>
      </c>
      <c r="G8" t="str">
        <f>_xlfn.XLOOKUP(Prodeje[[#This Row],[Prodejce]],Obchodnici[Kód prodejce],Obchodnici[Jméno])</f>
        <v>Vodička</v>
      </c>
      <c r="H8" t="str">
        <f>_xlfn.XLOOKUP(Prodeje[[#This Row],[Prodejce]],Obchodnici[Kód prodejce],Obchodnici[Region])</f>
        <v>Severní Čechy</v>
      </c>
    </row>
    <row r="9" spans="2:10" hidden="1" x14ac:dyDescent="0.25">
      <c r="B9" s="1">
        <v>45847</v>
      </c>
      <c r="C9" t="s">
        <v>88</v>
      </c>
      <c r="D9" t="s">
        <v>80</v>
      </c>
      <c r="E9" t="s">
        <v>6</v>
      </c>
      <c r="F9">
        <v>1</v>
      </c>
      <c r="G9" t="str">
        <f>_xlfn.XLOOKUP(Prodeje[[#This Row],[Prodejce]],Obchodnici[Kód prodejce],Obchodnici[Jméno])</f>
        <v>Vodička</v>
      </c>
      <c r="H9" t="str">
        <f>_xlfn.XLOOKUP(Prodeje[[#This Row],[Prodejce]],Obchodnici[Kód prodejce],Obchodnici[Region])</f>
        <v>Severní Čechy</v>
      </c>
    </row>
    <row r="10" spans="2:10" hidden="1" x14ac:dyDescent="0.25">
      <c r="B10" s="1">
        <v>45879</v>
      </c>
      <c r="C10" t="s">
        <v>89</v>
      </c>
      <c r="D10" t="s">
        <v>80</v>
      </c>
      <c r="E10" t="s">
        <v>7</v>
      </c>
      <c r="F10">
        <v>1</v>
      </c>
      <c r="G10" t="str">
        <f>_xlfn.XLOOKUP(Prodeje[[#This Row],[Prodejce]],Obchodnici[Kód prodejce],Obchodnici[Jméno])</f>
        <v>Veselovský</v>
      </c>
      <c r="H10" t="str">
        <f>_xlfn.XLOOKUP(Prodeje[[#This Row],[Prodejce]],Obchodnici[Kód prodejce],Obchodnici[Region])</f>
        <v>Praha</v>
      </c>
    </row>
    <row r="11" spans="2:10" hidden="1" x14ac:dyDescent="0.25">
      <c r="B11" s="1">
        <v>45848</v>
      </c>
      <c r="C11" t="s">
        <v>90</v>
      </c>
      <c r="D11" t="s">
        <v>80</v>
      </c>
      <c r="E11" t="s">
        <v>7</v>
      </c>
      <c r="F11">
        <v>1</v>
      </c>
      <c r="G11" t="str">
        <f>_xlfn.XLOOKUP(Prodeje[[#This Row],[Prodejce]],Obchodnici[Kód prodejce],Obchodnici[Jméno])</f>
        <v>Veselovský</v>
      </c>
      <c r="H11" t="str">
        <f>_xlfn.XLOOKUP(Prodeje[[#This Row],[Prodejce]],Obchodnici[Kód prodejce],Obchodnici[Region])</f>
        <v>Praha</v>
      </c>
    </row>
    <row r="12" spans="2:10" x14ac:dyDescent="0.25">
      <c r="B12" s="1">
        <v>45910</v>
      </c>
      <c r="C12" t="s">
        <v>91</v>
      </c>
      <c r="D12" t="s">
        <v>81</v>
      </c>
      <c r="E12" t="s">
        <v>7</v>
      </c>
      <c r="F12">
        <v>1</v>
      </c>
      <c r="G12" t="str">
        <f>_xlfn.XLOOKUP(Prodeje[[#This Row],[Prodejce]],Obchodnici[Kód prodejce],Obchodnici[Jméno])</f>
        <v>Veselovský</v>
      </c>
      <c r="H12" t="str">
        <f>_xlfn.XLOOKUP(Prodeje[[#This Row],[Prodejce]],Obchodnici[Kód prodejce],Obchodnici[Region])</f>
        <v>Praha</v>
      </c>
    </row>
    <row r="13" spans="2:10" hidden="1" x14ac:dyDescent="0.25">
      <c r="B13" s="1">
        <v>45853</v>
      </c>
      <c r="C13" t="s">
        <v>92</v>
      </c>
      <c r="D13" t="s">
        <v>80</v>
      </c>
      <c r="E13" t="s">
        <v>8</v>
      </c>
      <c r="F13">
        <v>1</v>
      </c>
      <c r="G13" t="str">
        <f>_xlfn.XLOOKUP(Prodeje[[#This Row],[Prodejce]],Obchodnici[Kód prodejce],Obchodnici[Jméno])</f>
        <v>Trlík</v>
      </c>
      <c r="H13" t="str">
        <f>_xlfn.XLOOKUP(Prodeje[[#This Row],[Prodejce]],Obchodnici[Kód prodejce],Obchodnici[Region])</f>
        <v>Praha</v>
      </c>
    </row>
    <row r="14" spans="2:10" x14ac:dyDescent="0.25">
      <c r="B14" s="1">
        <v>45914</v>
      </c>
      <c r="C14" t="s">
        <v>137</v>
      </c>
      <c r="D14" t="s">
        <v>81</v>
      </c>
      <c r="E14" t="s">
        <v>14</v>
      </c>
      <c r="F14">
        <v>1</v>
      </c>
      <c r="G14" t="str">
        <f>_xlfn.XLOOKUP(Prodeje[[#This Row],[Prodejce]],Obchodnici[Kód prodejce],Obchodnici[Jméno])</f>
        <v>Sklenář</v>
      </c>
      <c r="H14" t="str">
        <f>_xlfn.XLOOKUP(Prodeje[[#This Row],[Prodejce]],Obchodnici[Kód prodejce],Obchodnici[Region])</f>
        <v>Praha</v>
      </c>
    </row>
    <row r="15" spans="2:10" hidden="1" x14ac:dyDescent="0.25">
      <c r="B15" s="1">
        <v>45884</v>
      </c>
      <c r="C15" t="s">
        <v>94</v>
      </c>
      <c r="D15" t="s">
        <v>80</v>
      </c>
      <c r="E15" t="s">
        <v>8</v>
      </c>
      <c r="F15">
        <v>1</v>
      </c>
      <c r="G15" t="str">
        <f>_xlfn.XLOOKUP(Prodeje[[#This Row],[Prodejce]],Obchodnici[Kód prodejce],Obchodnici[Jméno])</f>
        <v>Trlík</v>
      </c>
      <c r="H15" t="str">
        <f>_xlfn.XLOOKUP(Prodeje[[#This Row],[Prodejce]],Obchodnici[Kód prodejce],Obchodnici[Region])</f>
        <v>Praha</v>
      </c>
    </row>
    <row r="16" spans="2:10" x14ac:dyDescent="0.25">
      <c r="B16" s="1"/>
      <c r="J16" t="s">
        <v>437</v>
      </c>
    </row>
    <row r="17" spans="2:10" hidden="1" x14ac:dyDescent="0.25">
      <c r="B17" s="1">
        <v>45858</v>
      </c>
      <c r="C17" t="s">
        <v>95</v>
      </c>
      <c r="D17" t="s">
        <v>80</v>
      </c>
      <c r="E17" t="s">
        <v>8</v>
      </c>
      <c r="F17">
        <v>2</v>
      </c>
      <c r="G17" t="str">
        <f>_xlfn.XLOOKUP(Prodeje[[#This Row],[Prodejce]],Obchodnici[Kód prodejce],Obchodnici[Jméno])</f>
        <v>Trlík</v>
      </c>
      <c r="H17" t="str">
        <f>_xlfn.XLOOKUP(Prodeje[[#This Row],[Prodejce]],Obchodnici[Kód prodejce],Obchodnici[Region])</f>
        <v>Praha</v>
      </c>
    </row>
    <row r="18" spans="2:10" x14ac:dyDescent="0.25">
      <c r="B18" s="1">
        <v>45920</v>
      </c>
      <c r="C18" t="s">
        <v>96</v>
      </c>
      <c r="D18" t="s">
        <v>81</v>
      </c>
      <c r="E18" t="s">
        <v>8</v>
      </c>
      <c r="F18">
        <v>2</v>
      </c>
      <c r="G18" t="str">
        <f>_xlfn.XLOOKUP(Prodeje[[#This Row],[Prodejce]],Obchodnici[Kód prodejce],Obchodnici[Jméno])</f>
        <v>Trlík</v>
      </c>
      <c r="H18" t="str">
        <f>_xlfn.XLOOKUP(Prodeje[[#This Row],[Prodejce]],Obchodnici[Kód prodejce],Obchodnici[Region])</f>
        <v>Praha</v>
      </c>
      <c r="J18" t="s">
        <v>438</v>
      </c>
    </row>
    <row r="19" spans="2:10" hidden="1" x14ac:dyDescent="0.25">
      <c r="B19" s="1">
        <v>45889</v>
      </c>
      <c r="C19" t="s">
        <v>97</v>
      </c>
      <c r="D19" t="s">
        <v>80</v>
      </c>
      <c r="E19" t="s">
        <v>8</v>
      </c>
      <c r="F19">
        <v>1</v>
      </c>
      <c r="G19" t="str">
        <f>_xlfn.XLOOKUP(Prodeje[[#This Row],[Prodejce]],Obchodnici[Kód prodejce],Obchodnici[Jméno])</f>
        <v>Trlík</v>
      </c>
      <c r="H19" t="str">
        <f>_xlfn.XLOOKUP(Prodeje[[#This Row],[Prodejce]],Obchodnici[Kód prodejce],Obchodnici[Region])</f>
        <v>Praha</v>
      </c>
    </row>
    <row r="20" spans="2:10" hidden="1" x14ac:dyDescent="0.25">
      <c r="B20" s="1">
        <v>45856</v>
      </c>
      <c r="C20" t="s">
        <v>98</v>
      </c>
      <c r="D20" t="s">
        <v>80</v>
      </c>
      <c r="E20" t="s">
        <v>9</v>
      </c>
      <c r="F20">
        <v>1</v>
      </c>
      <c r="G20" t="str">
        <f>_xlfn.XLOOKUP(Prodeje[[#This Row],[Prodejce]],Obchodnici[Kód prodejce],Obchodnici[Jméno])</f>
        <v>Bouše</v>
      </c>
      <c r="H20" t="str">
        <f>_xlfn.XLOOKUP(Prodeje[[#This Row],[Prodejce]],Obchodnici[Kód prodejce],Obchodnici[Region])</f>
        <v>Severní Čechy</v>
      </c>
    </row>
    <row r="21" spans="2:10" x14ac:dyDescent="0.25">
      <c r="B21" s="1">
        <v>45918</v>
      </c>
      <c r="C21" t="s">
        <v>99</v>
      </c>
      <c r="D21" t="s">
        <v>81</v>
      </c>
      <c r="E21" t="s">
        <v>9</v>
      </c>
      <c r="F21">
        <v>1</v>
      </c>
      <c r="G21" t="str">
        <f>_xlfn.XLOOKUP(Prodeje[[#This Row],[Prodejce]],Obchodnici[Kód prodejce],Obchodnici[Jméno])</f>
        <v>Bouše</v>
      </c>
      <c r="H21" t="str">
        <f>_xlfn.XLOOKUP(Prodeje[[#This Row],[Prodejce]],Obchodnici[Kód prodejce],Obchodnici[Region])</f>
        <v>Severní Čechy</v>
      </c>
    </row>
    <row r="22" spans="2:10" x14ac:dyDescent="0.25">
      <c r="B22" s="1">
        <v>45915</v>
      </c>
      <c r="C22" t="s">
        <v>93</v>
      </c>
      <c r="D22" t="s">
        <v>81</v>
      </c>
      <c r="E22" t="s">
        <v>8</v>
      </c>
      <c r="F22">
        <v>1</v>
      </c>
      <c r="G22" t="str">
        <f>_xlfn.XLOOKUP(Prodeje[[#This Row],[Prodejce]],Obchodnici[Kód prodejce],Obchodnici[Jméno])</f>
        <v>Trlík</v>
      </c>
      <c r="H22" t="str">
        <f>_xlfn.XLOOKUP(Prodeje[[#This Row],[Prodejce]],Obchodnici[Kód prodejce],Obchodnici[Region])</f>
        <v>Praha</v>
      </c>
    </row>
    <row r="23" spans="2:10" hidden="1" x14ac:dyDescent="0.25">
      <c r="B23" s="1">
        <v>45887</v>
      </c>
      <c r="C23" t="s">
        <v>101</v>
      </c>
      <c r="D23" t="s">
        <v>80</v>
      </c>
      <c r="E23" t="s">
        <v>9</v>
      </c>
      <c r="F23">
        <v>1</v>
      </c>
      <c r="G23" t="str">
        <f>_xlfn.XLOOKUP(Prodeje[[#This Row],[Prodejce]],Obchodnici[Kód prodejce],Obchodnici[Jméno])</f>
        <v>Bouše</v>
      </c>
      <c r="H23" t="str">
        <f>_xlfn.XLOOKUP(Prodeje[[#This Row],[Prodejce]],Obchodnici[Kód prodejce],Obchodnici[Region])</f>
        <v>Severní Čechy</v>
      </c>
    </row>
    <row r="24" spans="2:10" hidden="1" x14ac:dyDescent="0.25">
      <c r="B24" s="1">
        <v>45856</v>
      </c>
      <c r="C24" t="s">
        <v>102</v>
      </c>
      <c r="D24" t="s">
        <v>80</v>
      </c>
      <c r="E24" t="s">
        <v>9</v>
      </c>
      <c r="F24">
        <v>1</v>
      </c>
      <c r="G24" t="str">
        <f>_xlfn.XLOOKUP(Prodeje[[#This Row],[Prodejce]],Obchodnici[Kód prodejce],Obchodnici[Jméno])</f>
        <v>Bouše</v>
      </c>
      <c r="H24" t="str">
        <f>_xlfn.XLOOKUP(Prodeje[[#This Row],[Prodejce]],Obchodnici[Kód prodejce],Obchodnici[Region])</f>
        <v>Severní Čechy</v>
      </c>
    </row>
    <row r="25" spans="2:10" hidden="1" x14ac:dyDescent="0.25">
      <c r="B25" s="1">
        <v>45856</v>
      </c>
      <c r="C25" t="s">
        <v>103</v>
      </c>
      <c r="D25" t="s">
        <v>80</v>
      </c>
      <c r="E25" t="s">
        <v>9</v>
      </c>
      <c r="F25">
        <v>1</v>
      </c>
      <c r="G25" t="str">
        <f>_xlfn.XLOOKUP(Prodeje[[#This Row],[Prodejce]],Obchodnici[Kód prodejce],Obchodnici[Jméno])</f>
        <v>Bouše</v>
      </c>
      <c r="H25" t="str">
        <f>_xlfn.XLOOKUP(Prodeje[[#This Row],[Prodejce]],Obchodnici[Kód prodejce],Obchodnici[Region])</f>
        <v>Severní Čechy</v>
      </c>
    </row>
    <row r="26" spans="2:10" hidden="1" x14ac:dyDescent="0.25">
      <c r="B26" s="1">
        <v>45887</v>
      </c>
      <c r="C26" t="s">
        <v>104</v>
      </c>
      <c r="D26" t="s">
        <v>80</v>
      </c>
      <c r="E26" t="s">
        <v>9</v>
      </c>
      <c r="F26">
        <v>1</v>
      </c>
      <c r="G26" t="str">
        <f>_xlfn.XLOOKUP(Prodeje[[#This Row],[Prodejce]],Obchodnici[Kód prodejce],Obchodnici[Jméno])</f>
        <v>Bouše</v>
      </c>
      <c r="H26" t="str">
        <f>_xlfn.XLOOKUP(Prodeje[[#This Row],[Prodejce]],Obchodnici[Kód prodejce],Obchodnici[Region])</f>
        <v>Severní Čechy</v>
      </c>
    </row>
    <row r="27" spans="2:10" hidden="1" x14ac:dyDescent="0.25">
      <c r="B27" s="1">
        <v>45861</v>
      </c>
      <c r="C27" t="s">
        <v>105</v>
      </c>
      <c r="D27" t="s">
        <v>80</v>
      </c>
      <c r="E27" t="s">
        <v>9</v>
      </c>
      <c r="F27">
        <v>2</v>
      </c>
      <c r="G27" t="str">
        <f>_xlfn.XLOOKUP(Prodeje[[#This Row],[Prodejce]],Obchodnici[Kód prodejce],Obchodnici[Jméno])</f>
        <v>Bouše</v>
      </c>
      <c r="H27" t="str">
        <f>_xlfn.XLOOKUP(Prodeje[[#This Row],[Prodejce]],Obchodnici[Kód prodejce],Obchodnici[Region])</f>
        <v>Severní Čechy</v>
      </c>
    </row>
    <row r="28" spans="2:10" x14ac:dyDescent="0.25">
      <c r="B28" s="1"/>
    </row>
    <row r="29" spans="2:10" hidden="1" x14ac:dyDescent="0.25">
      <c r="B29" s="1">
        <v>45892</v>
      </c>
      <c r="C29" t="s">
        <v>107</v>
      </c>
      <c r="D29" t="s">
        <v>80</v>
      </c>
      <c r="E29" t="s">
        <v>9</v>
      </c>
      <c r="F29">
        <v>1</v>
      </c>
      <c r="G29" t="str">
        <f>_xlfn.XLOOKUP(Prodeje[[#This Row],[Prodejce]],Obchodnici[Kód prodejce],Obchodnici[Jméno])</f>
        <v>Bouše</v>
      </c>
      <c r="H29" t="str">
        <f>_xlfn.XLOOKUP(Prodeje[[#This Row],[Prodejce]],Obchodnici[Kód prodejce],Obchodnici[Region])</f>
        <v>Severní Čechy</v>
      </c>
    </row>
    <row r="30" spans="2:10" hidden="1" x14ac:dyDescent="0.25">
      <c r="B30" s="1">
        <v>45875</v>
      </c>
      <c r="C30" t="s">
        <v>108</v>
      </c>
      <c r="D30" t="s">
        <v>80</v>
      </c>
      <c r="E30" t="s">
        <v>9</v>
      </c>
      <c r="F30">
        <v>1</v>
      </c>
      <c r="G30" t="str">
        <f>_xlfn.XLOOKUP(Prodeje[[#This Row],[Prodejce]],Obchodnici[Kód prodejce],Obchodnici[Jméno])</f>
        <v>Bouše</v>
      </c>
      <c r="H30" t="str">
        <f>_xlfn.XLOOKUP(Prodeje[[#This Row],[Prodejce]],Obchodnici[Kód prodejce],Obchodnici[Region])</f>
        <v>Severní Čechy</v>
      </c>
    </row>
    <row r="31" spans="2:10" hidden="1" x14ac:dyDescent="0.25">
      <c r="B31" s="1">
        <v>45844</v>
      </c>
      <c r="C31" t="s">
        <v>109</v>
      </c>
      <c r="D31" t="s">
        <v>80</v>
      </c>
      <c r="E31" t="s">
        <v>9</v>
      </c>
      <c r="F31">
        <v>1</v>
      </c>
      <c r="G31" t="str">
        <f>_xlfn.XLOOKUP(Prodeje[[#This Row],[Prodejce]],Obchodnici[Kód prodejce],Obchodnici[Jméno])</f>
        <v>Bouše</v>
      </c>
      <c r="H31" t="str">
        <f>_xlfn.XLOOKUP(Prodeje[[#This Row],[Prodejce]],Obchodnici[Kód prodejce],Obchodnici[Region])</f>
        <v>Severní Čechy</v>
      </c>
    </row>
    <row r="32" spans="2:10" hidden="1" x14ac:dyDescent="0.25">
      <c r="B32" s="1">
        <v>45876</v>
      </c>
      <c r="C32" t="s">
        <v>110</v>
      </c>
      <c r="D32" t="s">
        <v>80</v>
      </c>
      <c r="E32" t="s">
        <v>10</v>
      </c>
      <c r="F32">
        <v>2</v>
      </c>
      <c r="G32" t="str">
        <f>_xlfn.XLOOKUP(Prodeje[[#This Row],[Prodejce]],Obchodnici[Kód prodejce],Obchodnici[Jméno])</f>
        <v>Náhlá</v>
      </c>
      <c r="H32" t="str">
        <f>_xlfn.XLOOKUP(Prodeje[[#This Row],[Prodejce]],Obchodnici[Kód prodejce],Obchodnici[Region])</f>
        <v>Jižní Čechy</v>
      </c>
    </row>
    <row r="33" spans="2:8" hidden="1" x14ac:dyDescent="0.25">
      <c r="B33" s="1">
        <v>45845</v>
      </c>
      <c r="C33" t="s">
        <v>111</v>
      </c>
      <c r="D33" t="s">
        <v>80</v>
      </c>
      <c r="E33" t="s">
        <v>10</v>
      </c>
      <c r="F33">
        <v>1</v>
      </c>
      <c r="G33" t="str">
        <f>_xlfn.XLOOKUP(Prodeje[[#This Row],[Prodejce]],Obchodnici[Kód prodejce],Obchodnici[Jméno])</f>
        <v>Náhlá</v>
      </c>
      <c r="H33" t="str">
        <f>_xlfn.XLOOKUP(Prodeje[[#This Row],[Prodejce]],Obchodnici[Kód prodejce],Obchodnici[Region])</f>
        <v>Jižní Čechy</v>
      </c>
    </row>
    <row r="34" spans="2:8" hidden="1" x14ac:dyDescent="0.25">
      <c r="B34" s="1">
        <v>45877</v>
      </c>
      <c r="C34" t="s">
        <v>112</v>
      </c>
      <c r="D34" t="s">
        <v>80</v>
      </c>
      <c r="E34" t="s">
        <v>10</v>
      </c>
      <c r="F34">
        <v>1</v>
      </c>
      <c r="G34" t="str">
        <f>_xlfn.XLOOKUP(Prodeje[[#This Row],[Prodejce]],Obchodnici[Kód prodejce],Obchodnici[Jméno])</f>
        <v>Náhlá</v>
      </c>
      <c r="H34" t="str">
        <f>_xlfn.XLOOKUP(Prodeje[[#This Row],[Prodejce]],Obchodnici[Kód prodejce],Obchodnici[Region])</f>
        <v>Jižní Čechy</v>
      </c>
    </row>
    <row r="35" spans="2:8" hidden="1" x14ac:dyDescent="0.25">
      <c r="B35" s="1">
        <v>45846</v>
      </c>
      <c r="C35" t="s">
        <v>113</v>
      </c>
      <c r="D35" t="s">
        <v>80</v>
      </c>
      <c r="E35" t="s">
        <v>10</v>
      </c>
      <c r="F35">
        <v>1</v>
      </c>
      <c r="G35" t="str">
        <f>_xlfn.XLOOKUP(Prodeje[[#This Row],[Prodejce]],Obchodnici[Kód prodejce],Obchodnici[Jméno])</f>
        <v>Náhlá</v>
      </c>
      <c r="H35" t="str">
        <f>_xlfn.XLOOKUP(Prodeje[[#This Row],[Prodejce]],Obchodnici[Kód prodejce],Obchodnici[Region])</f>
        <v>Jižní Čechy</v>
      </c>
    </row>
    <row r="36" spans="2:8" hidden="1" x14ac:dyDescent="0.25">
      <c r="B36" s="1">
        <v>45879</v>
      </c>
      <c r="C36" t="s">
        <v>114</v>
      </c>
      <c r="D36" t="s">
        <v>80</v>
      </c>
      <c r="E36" t="s">
        <v>10</v>
      </c>
      <c r="F36">
        <v>1</v>
      </c>
      <c r="G36" t="str">
        <f>_xlfn.XLOOKUP(Prodeje[[#This Row],[Prodejce]],Obchodnici[Kód prodejce],Obchodnici[Jméno])</f>
        <v>Náhlá</v>
      </c>
      <c r="H36" t="str">
        <f>_xlfn.XLOOKUP(Prodeje[[#This Row],[Prodejce]],Obchodnici[Kód prodejce],Obchodnici[Region])</f>
        <v>Jižní Čechy</v>
      </c>
    </row>
    <row r="37" spans="2:8" hidden="1" x14ac:dyDescent="0.25">
      <c r="B37" s="1">
        <v>45848</v>
      </c>
      <c r="C37" t="s">
        <v>115</v>
      </c>
      <c r="D37" t="s">
        <v>80</v>
      </c>
      <c r="E37" t="s">
        <v>10</v>
      </c>
      <c r="F37">
        <v>2</v>
      </c>
      <c r="G37" t="str">
        <f>_xlfn.XLOOKUP(Prodeje[[#This Row],[Prodejce]],Obchodnici[Kód prodejce],Obchodnici[Jméno])</f>
        <v>Náhlá</v>
      </c>
      <c r="H37" t="str">
        <f>_xlfn.XLOOKUP(Prodeje[[#This Row],[Prodejce]],Obchodnici[Kód prodejce],Obchodnici[Region])</f>
        <v>Jižní Čechy</v>
      </c>
    </row>
    <row r="38" spans="2:8" hidden="1" x14ac:dyDescent="0.25">
      <c r="B38" s="1">
        <v>45879</v>
      </c>
      <c r="C38" t="s">
        <v>116</v>
      </c>
      <c r="D38" t="s">
        <v>80</v>
      </c>
      <c r="E38" t="s">
        <v>10</v>
      </c>
      <c r="F38">
        <v>2</v>
      </c>
      <c r="G38" t="str">
        <f>_xlfn.XLOOKUP(Prodeje[[#This Row],[Prodejce]],Obchodnici[Kód prodejce],Obchodnici[Jméno])</f>
        <v>Náhlá</v>
      </c>
      <c r="H38" t="str">
        <f>_xlfn.XLOOKUP(Prodeje[[#This Row],[Prodejce]],Obchodnici[Kód prodejce],Obchodnici[Region])</f>
        <v>Jižní Čechy</v>
      </c>
    </row>
    <row r="39" spans="2:8" hidden="1" x14ac:dyDescent="0.25">
      <c r="B39" s="1">
        <v>45862</v>
      </c>
      <c r="C39" t="s">
        <v>117</v>
      </c>
      <c r="D39" t="s">
        <v>80</v>
      </c>
      <c r="E39" t="s">
        <v>11</v>
      </c>
      <c r="F39">
        <v>1</v>
      </c>
      <c r="G39" t="str">
        <f>_xlfn.XLOOKUP(Prodeje[[#This Row],[Prodejce]],Obchodnici[Kód prodejce],Obchodnici[Jméno])</f>
        <v>Koutník</v>
      </c>
      <c r="H39" t="str">
        <f>_xlfn.XLOOKUP(Prodeje[[#This Row],[Prodejce]],Obchodnici[Kód prodejce],Obchodnici[Region])</f>
        <v>Východní Čechy</v>
      </c>
    </row>
    <row r="40" spans="2:8" hidden="1" x14ac:dyDescent="0.25">
      <c r="B40" s="1">
        <v>45893</v>
      </c>
      <c r="C40" t="s">
        <v>118</v>
      </c>
      <c r="D40" t="s">
        <v>80</v>
      </c>
      <c r="E40" t="s">
        <v>11</v>
      </c>
      <c r="F40">
        <v>1</v>
      </c>
      <c r="G40" t="str">
        <f>_xlfn.XLOOKUP(Prodeje[[#This Row],[Prodejce]],Obchodnici[Kód prodejce],Obchodnici[Jméno])</f>
        <v>Koutník</v>
      </c>
      <c r="H40" t="str">
        <f>_xlfn.XLOOKUP(Prodeje[[#This Row],[Prodejce]],Obchodnici[Kód prodejce],Obchodnici[Region])</f>
        <v>Východní Čechy</v>
      </c>
    </row>
    <row r="41" spans="2:8" hidden="1" x14ac:dyDescent="0.25">
      <c r="B41" s="1">
        <v>45866</v>
      </c>
      <c r="C41" t="s">
        <v>119</v>
      </c>
      <c r="D41" t="s">
        <v>80</v>
      </c>
      <c r="E41" t="s">
        <v>10</v>
      </c>
      <c r="F41">
        <v>1</v>
      </c>
      <c r="G41" t="str">
        <f>_xlfn.XLOOKUP(Prodeje[[#This Row],[Prodejce]],Obchodnici[Kód prodejce],Obchodnici[Jméno])</f>
        <v>Náhlá</v>
      </c>
      <c r="H41" t="str">
        <f>_xlfn.XLOOKUP(Prodeje[[#This Row],[Prodejce]],Obchodnici[Kód prodejce],Obchodnici[Region])</f>
        <v>Jižní Čechy</v>
      </c>
    </row>
    <row r="42" spans="2:8" hidden="1" x14ac:dyDescent="0.25">
      <c r="B42" s="1">
        <v>45897</v>
      </c>
      <c r="C42" t="s">
        <v>120</v>
      </c>
      <c r="D42" t="s">
        <v>80</v>
      </c>
      <c r="E42" t="s">
        <v>10</v>
      </c>
      <c r="F42">
        <v>1</v>
      </c>
      <c r="G42" t="str">
        <f>_xlfn.XLOOKUP(Prodeje[[#This Row],[Prodejce]],Obchodnici[Kód prodejce],Obchodnici[Jméno])</f>
        <v>Náhlá</v>
      </c>
      <c r="H42" t="str">
        <f>_xlfn.XLOOKUP(Prodeje[[#This Row],[Prodejce]],Obchodnici[Kód prodejce],Obchodnici[Region])</f>
        <v>Jižní Čechy</v>
      </c>
    </row>
    <row r="43" spans="2:8" hidden="1" x14ac:dyDescent="0.25">
      <c r="B43" s="1">
        <v>45897</v>
      </c>
      <c r="C43" t="s">
        <v>121</v>
      </c>
      <c r="D43" t="s">
        <v>80</v>
      </c>
      <c r="E43" t="s">
        <v>10</v>
      </c>
      <c r="F43">
        <v>1</v>
      </c>
      <c r="G43" t="str">
        <f>_xlfn.XLOOKUP(Prodeje[[#This Row],[Prodejce]],Obchodnici[Kód prodejce],Obchodnici[Jméno])</f>
        <v>Náhlá</v>
      </c>
      <c r="H43" t="str">
        <f>_xlfn.XLOOKUP(Prodeje[[#This Row],[Prodejce]],Obchodnici[Kód prodejce],Obchodnici[Region])</f>
        <v>Jižní Čechy</v>
      </c>
    </row>
    <row r="44" spans="2:8" hidden="1" x14ac:dyDescent="0.25">
      <c r="B44" s="1">
        <v>45873</v>
      </c>
      <c r="C44" t="s">
        <v>122</v>
      </c>
      <c r="D44" t="s">
        <v>80</v>
      </c>
      <c r="E44" t="s">
        <v>12</v>
      </c>
      <c r="F44">
        <v>2</v>
      </c>
      <c r="G44" t="str">
        <f>_xlfn.XLOOKUP(Prodeje[[#This Row],[Prodejce]],Obchodnici[Kód prodejce],Obchodnici[Jméno])</f>
        <v>Fišer</v>
      </c>
      <c r="H44" t="str">
        <f>_xlfn.XLOOKUP(Prodeje[[#This Row],[Prodejce]],Obchodnici[Kód prodejce],Obchodnici[Region])</f>
        <v>Praha</v>
      </c>
    </row>
    <row r="45" spans="2:8" hidden="1" x14ac:dyDescent="0.25">
      <c r="B45" s="1">
        <v>45842</v>
      </c>
      <c r="C45" t="s">
        <v>123</v>
      </c>
      <c r="D45" t="s">
        <v>80</v>
      </c>
      <c r="E45" t="s">
        <v>12</v>
      </c>
      <c r="F45">
        <v>1</v>
      </c>
      <c r="G45" t="str">
        <f>_xlfn.XLOOKUP(Prodeje[[#This Row],[Prodejce]],Obchodnici[Kód prodejce],Obchodnici[Jméno])</f>
        <v>Fišer</v>
      </c>
      <c r="H45" t="str">
        <f>_xlfn.XLOOKUP(Prodeje[[#This Row],[Prodejce]],Obchodnici[Kód prodejce],Obchodnici[Region])</f>
        <v>Praha</v>
      </c>
    </row>
    <row r="46" spans="2:8" hidden="1" x14ac:dyDescent="0.25">
      <c r="B46" s="1">
        <v>45852</v>
      </c>
      <c r="C46" t="s">
        <v>124</v>
      </c>
      <c r="D46" t="s">
        <v>80</v>
      </c>
      <c r="E46" t="s">
        <v>12</v>
      </c>
      <c r="F46">
        <v>1</v>
      </c>
      <c r="G46" t="str">
        <f>_xlfn.XLOOKUP(Prodeje[[#This Row],[Prodejce]],Obchodnici[Kód prodejce],Obchodnici[Jméno])</f>
        <v>Fišer</v>
      </c>
      <c r="H46" t="str">
        <f>_xlfn.XLOOKUP(Prodeje[[#This Row],[Prodejce]],Obchodnici[Kód prodejce],Obchodnici[Region])</f>
        <v>Praha</v>
      </c>
    </row>
    <row r="47" spans="2:8" hidden="1" x14ac:dyDescent="0.25">
      <c r="B47" s="1">
        <v>45883</v>
      </c>
      <c r="C47" t="s">
        <v>125</v>
      </c>
      <c r="D47" t="s">
        <v>80</v>
      </c>
      <c r="E47" t="s">
        <v>12</v>
      </c>
      <c r="F47">
        <v>1</v>
      </c>
      <c r="G47" t="str">
        <f>_xlfn.XLOOKUP(Prodeje[[#This Row],[Prodejce]],Obchodnici[Kód prodejce],Obchodnici[Jméno])</f>
        <v>Fišer</v>
      </c>
      <c r="H47" t="str">
        <f>_xlfn.XLOOKUP(Prodeje[[#This Row],[Prodejce]],Obchodnici[Kód prodejce],Obchodnici[Region])</f>
        <v>Praha</v>
      </c>
    </row>
    <row r="48" spans="2:8" hidden="1" x14ac:dyDescent="0.25">
      <c r="B48" s="1">
        <v>45852</v>
      </c>
      <c r="C48" t="s">
        <v>126</v>
      </c>
      <c r="D48" t="s">
        <v>80</v>
      </c>
      <c r="E48" t="s">
        <v>12</v>
      </c>
      <c r="F48">
        <v>1</v>
      </c>
      <c r="G48" t="str">
        <f>_xlfn.XLOOKUP(Prodeje[[#This Row],[Prodejce]],Obchodnici[Kód prodejce],Obchodnici[Jméno])</f>
        <v>Fišer</v>
      </c>
      <c r="H48" t="str">
        <f>_xlfn.XLOOKUP(Prodeje[[#This Row],[Prodejce]],Obchodnici[Kód prodejce],Obchodnici[Region])</f>
        <v>Praha</v>
      </c>
    </row>
    <row r="49" spans="2:8" hidden="1" x14ac:dyDescent="0.25">
      <c r="B49" s="1">
        <v>45877</v>
      </c>
      <c r="C49" t="s">
        <v>127</v>
      </c>
      <c r="D49" t="s">
        <v>80</v>
      </c>
      <c r="E49" t="s">
        <v>13</v>
      </c>
      <c r="F49">
        <v>1</v>
      </c>
      <c r="G49" t="str">
        <f>_xlfn.XLOOKUP(Prodeje[[#This Row],[Prodejce]],Obchodnici[Kód prodejce],Obchodnici[Jméno])</f>
        <v>Zounar</v>
      </c>
      <c r="H49" t="str">
        <f>_xlfn.XLOOKUP(Prodeje[[#This Row],[Prodejce]],Obchodnici[Kód prodejce],Obchodnici[Region])</f>
        <v>Praha</v>
      </c>
    </row>
    <row r="50" spans="2:8" hidden="1" x14ac:dyDescent="0.25">
      <c r="B50" s="1">
        <v>45846</v>
      </c>
      <c r="C50" t="s">
        <v>128</v>
      </c>
      <c r="D50" t="s">
        <v>80</v>
      </c>
      <c r="E50" s="6" t="s">
        <v>13</v>
      </c>
      <c r="F50">
        <v>1</v>
      </c>
      <c r="G50" t="str">
        <f>_xlfn.XLOOKUP(Prodeje[[#This Row],[Prodejce]],Obchodnici[Kód prodejce],Obchodnici[Jméno])</f>
        <v>Zounar</v>
      </c>
      <c r="H50" t="str">
        <f>_xlfn.XLOOKUP(Prodeje[[#This Row],[Prodejce]],Obchodnici[Kód prodejce],Obchodnici[Region])</f>
        <v>Praha</v>
      </c>
    </row>
    <row r="51" spans="2:8" hidden="1" x14ac:dyDescent="0.25">
      <c r="B51" s="1">
        <v>45863</v>
      </c>
      <c r="C51" t="s">
        <v>129</v>
      </c>
      <c r="D51" t="s">
        <v>80</v>
      </c>
      <c r="E51" t="s">
        <v>13</v>
      </c>
      <c r="F51">
        <v>1</v>
      </c>
      <c r="G51" t="str">
        <f>_xlfn.XLOOKUP(Prodeje[[#This Row],[Prodejce]],Obchodnici[Kód prodejce],Obchodnici[Jméno])</f>
        <v>Zounar</v>
      </c>
      <c r="H51" t="str">
        <f>_xlfn.XLOOKUP(Prodeje[[#This Row],[Prodejce]],Obchodnici[Kód prodejce],Obchodnici[Region])</f>
        <v>Praha</v>
      </c>
    </row>
    <row r="52" spans="2:8" hidden="1" x14ac:dyDescent="0.25">
      <c r="B52" s="1">
        <v>45894</v>
      </c>
      <c r="C52" t="s">
        <v>130</v>
      </c>
      <c r="D52" t="s">
        <v>80</v>
      </c>
      <c r="E52" t="s">
        <v>13</v>
      </c>
      <c r="F52">
        <v>1</v>
      </c>
      <c r="G52" t="str">
        <f>_xlfn.XLOOKUP(Prodeje[[#This Row],[Prodejce]],Obchodnici[Kód prodejce],Obchodnici[Jméno])</f>
        <v>Zounar</v>
      </c>
      <c r="H52" t="str">
        <f>_xlfn.XLOOKUP(Prodeje[[#This Row],[Prodejce]],Obchodnici[Kód prodejce],Obchodnici[Region])</f>
        <v>Praha</v>
      </c>
    </row>
    <row r="53" spans="2:8" hidden="1" x14ac:dyDescent="0.25">
      <c r="B53" s="1">
        <v>45877</v>
      </c>
      <c r="C53" t="s">
        <v>131</v>
      </c>
      <c r="D53" t="s">
        <v>80</v>
      </c>
      <c r="E53" t="s">
        <v>14</v>
      </c>
      <c r="F53">
        <v>1</v>
      </c>
      <c r="G53" t="str">
        <f>_xlfn.XLOOKUP(Prodeje[[#This Row],[Prodejce]],Obchodnici[Kód prodejce],Obchodnici[Jméno])</f>
        <v>Sklenář</v>
      </c>
      <c r="H53" t="str">
        <f>_xlfn.XLOOKUP(Prodeje[[#This Row],[Prodejce]],Obchodnici[Kód prodejce],Obchodnici[Region])</f>
        <v>Praha</v>
      </c>
    </row>
    <row r="54" spans="2:8" hidden="1" x14ac:dyDescent="0.25">
      <c r="B54" s="1">
        <v>45846</v>
      </c>
      <c r="C54" t="s">
        <v>132</v>
      </c>
      <c r="D54" t="s">
        <v>80</v>
      </c>
      <c r="E54" t="s">
        <v>14</v>
      </c>
      <c r="F54">
        <v>1</v>
      </c>
      <c r="G54" t="str">
        <f>_xlfn.XLOOKUP(Prodeje[[#This Row],[Prodejce]],Obchodnici[Kód prodejce],Obchodnici[Jméno])</f>
        <v>Sklenář</v>
      </c>
      <c r="H54" t="str">
        <f>_xlfn.XLOOKUP(Prodeje[[#This Row],[Prodejce]],Obchodnici[Kód prodejce],Obchodnici[Region])</f>
        <v>Praha</v>
      </c>
    </row>
    <row r="55" spans="2:8" hidden="1" x14ac:dyDescent="0.25">
      <c r="B55" s="1">
        <v>45852</v>
      </c>
      <c r="C55" t="s">
        <v>133</v>
      </c>
      <c r="D55" t="s">
        <v>80</v>
      </c>
      <c r="E55" t="s">
        <v>14</v>
      </c>
      <c r="F55">
        <v>1</v>
      </c>
      <c r="G55" t="str">
        <f>_xlfn.XLOOKUP(Prodeje[[#This Row],[Prodejce]],Obchodnici[Kód prodejce],Obchodnici[Jméno])</f>
        <v>Sklenář</v>
      </c>
      <c r="H55" t="str">
        <f>_xlfn.XLOOKUP(Prodeje[[#This Row],[Prodejce]],Obchodnici[Kód prodejce],Obchodnici[Region])</f>
        <v>Praha</v>
      </c>
    </row>
    <row r="56" spans="2:8" hidden="1" x14ac:dyDescent="0.25">
      <c r="B56" s="1">
        <v>45918</v>
      </c>
      <c r="C56" t="s">
        <v>100</v>
      </c>
      <c r="D56" t="s">
        <v>80</v>
      </c>
      <c r="E56" t="s">
        <v>9</v>
      </c>
      <c r="F56">
        <v>1</v>
      </c>
      <c r="G56" t="str">
        <f>_xlfn.XLOOKUP(Prodeje[[#This Row],[Prodejce]],Obchodnici[Kód prodejce],Obchodnici[Jméno])</f>
        <v>Bouše</v>
      </c>
      <c r="H56" t="str">
        <f>_xlfn.XLOOKUP(Prodeje[[#This Row],[Prodejce]],Obchodnici[Kód prodejce],Obchodnici[Region])</f>
        <v>Severní Čechy</v>
      </c>
    </row>
    <row r="57" spans="2:8" hidden="1" x14ac:dyDescent="0.25">
      <c r="B57" s="1">
        <v>45883</v>
      </c>
      <c r="C57" t="s">
        <v>135</v>
      </c>
      <c r="D57" t="s">
        <v>80</v>
      </c>
      <c r="E57" t="s">
        <v>14</v>
      </c>
      <c r="F57">
        <v>1</v>
      </c>
      <c r="G57" t="str">
        <f>_xlfn.XLOOKUP(Prodeje[[#This Row],[Prodejce]],Obchodnici[Kód prodejce],Obchodnici[Jméno])</f>
        <v>Sklenář</v>
      </c>
      <c r="H57" t="str">
        <f>_xlfn.XLOOKUP(Prodeje[[#This Row],[Prodejce]],Obchodnici[Kód prodejce],Obchodnici[Region])</f>
        <v>Praha</v>
      </c>
    </row>
    <row r="58" spans="2:8" hidden="1" x14ac:dyDescent="0.25">
      <c r="B58" s="1">
        <v>45852</v>
      </c>
      <c r="C58" t="s">
        <v>136</v>
      </c>
      <c r="D58" t="s">
        <v>80</v>
      </c>
      <c r="E58" t="s">
        <v>14</v>
      </c>
      <c r="F58">
        <v>1</v>
      </c>
      <c r="G58" t="str">
        <f>_xlfn.XLOOKUP(Prodeje[[#This Row],[Prodejce]],Obchodnici[Kód prodejce],Obchodnici[Jméno])</f>
        <v>Sklenář</v>
      </c>
      <c r="H58" t="str">
        <f>_xlfn.XLOOKUP(Prodeje[[#This Row],[Prodejce]],Obchodnici[Kód prodejce],Obchodnici[Region])</f>
        <v>Praha</v>
      </c>
    </row>
    <row r="59" spans="2:8" hidden="1" x14ac:dyDescent="0.25">
      <c r="B59" s="1">
        <v>45923</v>
      </c>
      <c r="C59" t="s">
        <v>106</v>
      </c>
      <c r="D59" t="s">
        <v>80</v>
      </c>
      <c r="E59" t="s">
        <v>9</v>
      </c>
      <c r="F59">
        <v>1</v>
      </c>
      <c r="G59" t="str">
        <f>_xlfn.XLOOKUP(Prodeje[[#This Row],[Prodejce]],Obchodnici[Kód prodejce],Obchodnici[Jméno])</f>
        <v>Bouše</v>
      </c>
      <c r="H59" t="str">
        <f>_xlfn.XLOOKUP(Prodeje[[#This Row],[Prodejce]],Obchodnici[Kód prodejce],Obchodnici[Region])</f>
        <v>Severní Čechy</v>
      </c>
    </row>
    <row r="60" spans="2:8" hidden="1" x14ac:dyDescent="0.25">
      <c r="B60" s="1">
        <v>45883</v>
      </c>
      <c r="C60" t="s">
        <v>138</v>
      </c>
      <c r="D60" t="s">
        <v>80</v>
      </c>
      <c r="E60" t="s">
        <v>14</v>
      </c>
      <c r="F60">
        <v>2</v>
      </c>
      <c r="G60" t="str">
        <f>_xlfn.XLOOKUP(Prodeje[[#This Row],[Prodejce]],Obchodnici[Kód prodejce],Obchodnici[Jméno])</f>
        <v>Sklenář</v>
      </c>
      <c r="H60" t="str">
        <f>_xlfn.XLOOKUP(Prodeje[[#This Row],[Prodejce]],Obchodnici[Kód prodejce],Obchodnici[Region])</f>
        <v>Praha</v>
      </c>
    </row>
    <row r="61" spans="2:8" hidden="1" x14ac:dyDescent="0.25">
      <c r="B61" s="1">
        <v>45857</v>
      </c>
      <c r="C61" t="s">
        <v>139</v>
      </c>
      <c r="D61" t="s">
        <v>80</v>
      </c>
      <c r="E61" t="s">
        <v>14</v>
      </c>
      <c r="F61">
        <v>1</v>
      </c>
      <c r="G61" t="str">
        <f>_xlfn.XLOOKUP(Prodeje[[#This Row],[Prodejce]],Obchodnici[Kód prodejce],Obchodnici[Jméno])</f>
        <v>Sklenář</v>
      </c>
      <c r="H61" t="str">
        <f>_xlfn.XLOOKUP(Prodeje[[#This Row],[Prodejce]],Obchodnici[Kód prodejce],Obchodnici[Region])</f>
        <v>Praha</v>
      </c>
    </row>
    <row r="62" spans="2:8" hidden="1" x14ac:dyDescent="0.25">
      <c r="B62" s="1">
        <v>45888</v>
      </c>
      <c r="C62" t="s">
        <v>140</v>
      </c>
      <c r="D62" t="s">
        <v>80</v>
      </c>
      <c r="E62" t="s">
        <v>14</v>
      </c>
      <c r="F62">
        <v>1</v>
      </c>
      <c r="G62" t="str">
        <f>_xlfn.XLOOKUP(Prodeje[[#This Row],[Prodejce]],Obchodnici[Kód prodejce],Obchodnici[Jméno])</f>
        <v>Sklenář</v>
      </c>
      <c r="H62" t="str">
        <f>_xlfn.XLOOKUP(Prodeje[[#This Row],[Prodejce]],Obchodnici[Kód prodejce],Obchodnici[Region])</f>
        <v>Praha</v>
      </c>
    </row>
    <row r="63" spans="2:8" hidden="1" x14ac:dyDescent="0.25">
      <c r="B63" s="1">
        <v>45888</v>
      </c>
      <c r="C63" t="s">
        <v>141</v>
      </c>
      <c r="D63" t="s">
        <v>80</v>
      </c>
      <c r="E63" t="s">
        <v>14</v>
      </c>
      <c r="F63">
        <v>1</v>
      </c>
      <c r="G63" t="str">
        <f>_xlfn.XLOOKUP(Prodeje[[#This Row],[Prodejce]],Obchodnici[Kód prodejce],Obchodnici[Jméno])</f>
        <v>Sklenář</v>
      </c>
      <c r="H63" t="str">
        <f>_xlfn.XLOOKUP(Prodeje[[#This Row],[Prodejce]],Obchodnici[Kód prodejce],Obchodnici[Region])</f>
        <v>Praha</v>
      </c>
    </row>
    <row r="64" spans="2:8" hidden="1" x14ac:dyDescent="0.25">
      <c r="B64" s="1">
        <v>45859</v>
      </c>
      <c r="C64" t="s">
        <v>142</v>
      </c>
      <c r="D64" t="s">
        <v>80</v>
      </c>
      <c r="E64" t="s">
        <v>15</v>
      </c>
      <c r="F64">
        <v>1</v>
      </c>
      <c r="G64" t="str">
        <f>_xlfn.XLOOKUP(Prodeje[[#This Row],[Prodejce]],Obchodnici[Kód prodejce],Obchodnici[Jméno])</f>
        <v>Nebohý</v>
      </c>
      <c r="H64" t="str">
        <f>_xlfn.XLOOKUP(Prodeje[[#This Row],[Prodejce]],Obchodnici[Kód prodejce],Obchodnici[Region])</f>
        <v>Praha</v>
      </c>
    </row>
    <row r="65" spans="2:8" hidden="1" x14ac:dyDescent="0.25">
      <c r="B65" s="1">
        <v>45914</v>
      </c>
      <c r="C65" t="s">
        <v>134</v>
      </c>
      <c r="D65" t="s">
        <v>80</v>
      </c>
      <c r="E65" t="s">
        <v>14</v>
      </c>
      <c r="F65">
        <v>1</v>
      </c>
      <c r="G65" t="str">
        <f>_xlfn.XLOOKUP(Prodeje[[#This Row],[Prodejce]],Obchodnici[Kód prodejce],Obchodnici[Jméno])</f>
        <v>Sklenář</v>
      </c>
      <c r="H65" t="str">
        <f>_xlfn.XLOOKUP(Prodeje[[#This Row],[Prodejce]],Obchodnici[Kód prodejce],Obchodnici[Region])</f>
        <v>Praha</v>
      </c>
    </row>
    <row r="66" spans="2:8" hidden="1" x14ac:dyDescent="0.25">
      <c r="B66" s="1">
        <v>45890</v>
      </c>
      <c r="C66" t="s">
        <v>144</v>
      </c>
      <c r="D66" t="s">
        <v>80</v>
      </c>
      <c r="E66" s="6" t="s">
        <v>15</v>
      </c>
      <c r="F66">
        <v>1</v>
      </c>
      <c r="G66" t="str">
        <f>_xlfn.XLOOKUP(Prodeje[[#This Row],[Prodejce]],Obchodnici[Kód prodejce],Obchodnici[Jméno])</f>
        <v>Nebohý</v>
      </c>
      <c r="H66" t="str">
        <f>_xlfn.XLOOKUP(Prodeje[[#This Row],[Prodejce]],Obchodnici[Kód prodejce],Obchodnici[Region])</f>
        <v>Praha</v>
      </c>
    </row>
    <row r="67" spans="2:8" hidden="1" x14ac:dyDescent="0.25">
      <c r="B67" s="1">
        <v>45868</v>
      </c>
      <c r="C67" t="s">
        <v>145</v>
      </c>
      <c r="D67" t="s">
        <v>80</v>
      </c>
      <c r="E67" t="s">
        <v>14</v>
      </c>
      <c r="F67">
        <v>1</v>
      </c>
      <c r="G67" t="str">
        <f>_xlfn.XLOOKUP(Prodeje[[#This Row],[Prodejce]],Obchodnici[Kód prodejce],Obchodnici[Jméno])</f>
        <v>Sklenář</v>
      </c>
      <c r="H67" t="str">
        <f>_xlfn.XLOOKUP(Prodeje[[#This Row],[Prodejce]],Obchodnici[Kód prodejce],Obchodnici[Region])</f>
        <v>Praha</v>
      </c>
    </row>
    <row r="68" spans="2:8" x14ac:dyDescent="0.25">
      <c r="B68" s="1">
        <v>45930</v>
      </c>
      <c r="C68" t="s">
        <v>146</v>
      </c>
      <c r="D68" t="s">
        <v>81</v>
      </c>
      <c r="E68" t="s">
        <v>14</v>
      </c>
      <c r="F68">
        <v>1</v>
      </c>
      <c r="G68" t="str">
        <f>_xlfn.XLOOKUP(Prodeje[[#This Row],[Prodejce]],Obchodnici[Kód prodejce],Obchodnici[Jméno])</f>
        <v>Sklenář</v>
      </c>
      <c r="H68" t="str">
        <f>_xlfn.XLOOKUP(Prodeje[[#This Row],[Prodejce]],Obchodnici[Kód prodejce],Obchodnici[Region])</f>
        <v>Praha</v>
      </c>
    </row>
    <row r="69" spans="2:8" hidden="1" x14ac:dyDescent="0.25">
      <c r="B69" s="1">
        <v>45899</v>
      </c>
      <c r="C69" t="s">
        <v>147</v>
      </c>
      <c r="D69" t="s">
        <v>81</v>
      </c>
      <c r="E69" t="s">
        <v>14</v>
      </c>
      <c r="F69">
        <v>1</v>
      </c>
      <c r="G69" t="str">
        <f>_xlfn.XLOOKUP(Prodeje[[#This Row],[Prodejce]],Obchodnici[Kód prodejce],Obchodnici[Jméno])</f>
        <v>Sklenář</v>
      </c>
      <c r="H69" t="str">
        <f>_xlfn.XLOOKUP(Prodeje[[#This Row],[Prodejce]],Obchodnici[Kód prodejce],Obchodnici[Region])</f>
        <v>Praha</v>
      </c>
    </row>
    <row r="70" spans="2:8" hidden="1" x14ac:dyDescent="0.25">
      <c r="B70" s="1">
        <v>45840</v>
      </c>
      <c r="C70" t="s">
        <v>148</v>
      </c>
      <c r="D70" t="s">
        <v>80</v>
      </c>
      <c r="E70" t="s">
        <v>16</v>
      </c>
      <c r="F70">
        <v>1</v>
      </c>
      <c r="G70" t="str">
        <f>_xlfn.XLOOKUP(Prodeje[[#This Row],[Prodejce]],Obchodnici[Kód prodejce],Obchodnici[Jméno])</f>
        <v>Jarník</v>
      </c>
      <c r="H70" t="str">
        <f>_xlfn.XLOOKUP(Prodeje[[#This Row],[Prodejce]],Obchodnici[Kód prodejce],Obchodnici[Region])</f>
        <v>Praha</v>
      </c>
    </row>
    <row r="71" spans="2:8" hidden="1" x14ac:dyDescent="0.25">
      <c r="B71" s="1">
        <v>45871</v>
      </c>
      <c r="C71" t="s">
        <v>149</v>
      </c>
      <c r="D71" t="s">
        <v>80</v>
      </c>
      <c r="E71" t="s">
        <v>16</v>
      </c>
      <c r="F71">
        <v>1</v>
      </c>
      <c r="G71" t="str">
        <f>_xlfn.XLOOKUP(Prodeje[[#This Row],[Prodejce]],Obchodnici[Kód prodejce],Obchodnici[Jméno])</f>
        <v>Jarník</v>
      </c>
      <c r="H71" t="str">
        <f>_xlfn.XLOOKUP(Prodeje[[#This Row],[Prodejce]],Obchodnici[Kód prodejce],Obchodnici[Region])</f>
        <v>Praha</v>
      </c>
    </row>
    <row r="72" spans="2:8" hidden="1" x14ac:dyDescent="0.25">
      <c r="B72" s="1">
        <v>45840</v>
      </c>
      <c r="C72" t="s">
        <v>150</v>
      </c>
      <c r="D72" t="s">
        <v>80</v>
      </c>
      <c r="E72" t="s">
        <v>14</v>
      </c>
      <c r="F72">
        <v>2</v>
      </c>
      <c r="G72" t="str">
        <f>_xlfn.XLOOKUP(Prodeje[[#This Row],[Prodejce]],Obchodnici[Kód prodejce],Obchodnici[Jméno])</f>
        <v>Sklenář</v>
      </c>
      <c r="H72" t="str">
        <f>_xlfn.XLOOKUP(Prodeje[[#This Row],[Prodejce]],Obchodnici[Kód prodejce],Obchodnici[Region])</f>
        <v>Praha</v>
      </c>
    </row>
    <row r="73" spans="2:8" hidden="1" x14ac:dyDescent="0.25">
      <c r="B73" s="1">
        <v>45871</v>
      </c>
      <c r="C73" t="s">
        <v>151</v>
      </c>
      <c r="D73" t="s">
        <v>80</v>
      </c>
      <c r="E73" s="6" t="s">
        <v>14</v>
      </c>
      <c r="F73">
        <v>1</v>
      </c>
      <c r="G73" t="str">
        <f>_xlfn.XLOOKUP(Prodeje[[#This Row],[Prodejce]],Obchodnici[Kód prodejce],Obchodnici[Jméno])</f>
        <v>Sklenář</v>
      </c>
      <c r="H73" t="str">
        <f>_xlfn.XLOOKUP(Prodeje[[#This Row],[Prodejce]],Obchodnici[Kód prodejce],Obchodnici[Region])</f>
        <v>Praha</v>
      </c>
    </row>
    <row r="74" spans="2:8" hidden="1" x14ac:dyDescent="0.25">
      <c r="B74" s="1">
        <v>45841</v>
      </c>
      <c r="C74" t="s">
        <v>152</v>
      </c>
      <c r="D74" t="s">
        <v>80</v>
      </c>
      <c r="E74" t="s">
        <v>14</v>
      </c>
      <c r="F74">
        <v>1</v>
      </c>
      <c r="G74" t="str">
        <f>_xlfn.XLOOKUP(Prodeje[[#This Row],[Prodejce]],Obchodnici[Kód prodejce],Obchodnici[Jméno])</f>
        <v>Sklenář</v>
      </c>
      <c r="H74" t="str">
        <f>_xlfn.XLOOKUP(Prodeje[[#This Row],[Prodejce]],Obchodnici[Kód prodejce],Obchodnici[Region])</f>
        <v>Praha</v>
      </c>
    </row>
    <row r="75" spans="2:8" hidden="1" x14ac:dyDescent="0.25">
      <c r="B75" s="1">
        <v>45872</v>
      </c>
      <c r="C75" t="s">
        <v>153</v>
      </c>
      <c r="D75" t="s">
        <v>80</v>
      </c>
      <c r="E75" t="s">
        <v>14</v>
      </c>
      <c r="F75">
        <v>1</v>
      </c>
      <c r="G75" t="str">
        <f>_xlfn.XLOOKUP(Prodeje[[#This Row],[Prodejce]],Obchodnici[Kód prodejce],Obchodnici[Jméno])</f>
        <v>Sklenář</v>
      </c>
      <c r="H75" t="str">
        <f>_xlfn.XLOOKUP(Prodeje[[#This Row],[Prodejce]],Obchodnici[Kód prodejce],Obchodnici[Region])</f>
        <v>Praha</v>
      </c>
    </row>
    <row r="76" spans="2:8" hidden="1" x14ac:dyDescent="0.25">
      <c r="B76" s="1">
        <v>45873</v>
      </c>
      <c r="C76" t="s">
        <v>154</v>
      </c>
      <c r="D76" t="s">
        <v>80</v>
      </c>
      <c r="E76" s="6" t="s">
        <v>14</v>
      </c>
      <c r="F76">
        <v>1</v>
      </c>
      <c r="G76" t="str">
        <f>_xlfn.XLOOKUP(Prodeje[[#This Row],[Prodejce]],Obchodnici[Kód prodejce],Obchodnici[Jméno])</f>
        <v>Sklenář</v>
      </c>
      <c r="H76" t="str">
        <f>_xlfn.XLOOKUP(Prodeje[[#This Row],[Prodejce]],Obchodnici[Kód prodejce],Obchodnici[Region])</f>
        <v>Praha</v>
      </c>
    </row>
    <row r="77" spans="2:8" hidden="1" x14ac:dyDescent="0.25">
      <c r="B77" s="1">
        <v>45842</v>
      </c>
      <c r="C77" t="s">
        <v>155</v>
      </c>
      <c r="D77" t="s">
        <v>80</v>
      </c>
      <c r="E77" t="s">
        <v>14</v>
      </c>
      <c r="F77">
        <v>1</v>
      </c>
      <c r="G77" t="str">
        <f>_xlfn.XLOOKUP(Prodeje[[#This Row],[Prodejce]],Obchodnici[Kód prodejce],Obchodnici[Jméno])</f>
        <v>Sklenář</v>
      </c>
      <c r="H77" t="str">
        <f>_xlfn.XLOOKUP(Prodeje[[#This Row],[Prodejce]],Obchodnici[Kód prodejce],Obchodnici[Region])</f>
        <v>Praha</v>
      </c>
    </row>
    <row r="78" spans="2:8" hidden="1" x14ac:dyDescent="0.25">
      <c r="B78" s="1">
        <v>45873</v>
      </c>
      <c r="C78" t="s">
        <v>156</v>
      </c>
      <c r="D78" t="s">
        <v>80</v>
      </c>
      <c r="E78" t="s">
        <v>14</v>
      </c>
      <c r="F78">
        <v>1</v>
      </c>
      <c r="G78" t="str">
        <f>_xlfn.XLOOKUP(Prodeje[[#This Row],[Prodejce]],Obchodnici[Kód prodejce],Obchodnici[Jméno])</f>
        <v>Sklenář</v>
      </c>
      <c r="H78" t="str">
        <f>_xlfn.XLOOKUP(Prodeje[[#This Row],[Prodejce]],Obchodnici[Kód prodejce],Obchodnici[Region])</f>
        <v>Praha</v>
      </c>
    </row>
    <row r="79" spans="2:8" hidden="1" x14ac:dyDescent="0.25">
      <c r="B79" s="1">
        <v>45842</v>
      </c>
      <c r="C79" t="s">
        <v>157</v>
      </c>
      <c r="D79" t="s">
        <v>80</v>
      </c>
      <c r="E79" t="s">
        <v>14</v>
      </c>
      <c r="F79">
        <v>2</v>
      </c>
      <c r="G79" t="str">
        <f>_xlfn.XLOOKUP(Prodeje[[#This Row],[Prodejce]],Obchodnici[Kód prodejce],Obchodnici[Jméno])</f>
        <v>Sklenář</v>
      </c>
      <c r="H79" t="str">
        <f>_xlfn.XLOOKUP(Prodeje[[#This Row],[Prodejce]],Obchodnici[Kód prodejce],Obchodnici[Region])</f>
        <v>Praha</v>
      </c>
    </row>
    <row r="80" spans="2:8" hidden="1" x14ac:dyDescent="0.25">
      <c r="B80" s="1">
        <v>45877</v>
      </c>
      <c r="C80" t="s">
        <v>158</v>
      </c>
      <c r="D80" t="s">
        <v>80</v>
      </c>
      <c r="E80" t="s">
        <v>14</v>
      </c>
      <c r="F80">
        <v>1</v>
      </c>
      <c r="G80" t="str">
        <f>_xlfn.XLOOKUP(Prodeje[[#This Row],[Prodejce]],Obchodnici[Kód prodejce],Obchodnici[Jméno])</f>
        <v>Sklenář</v>
      </c>
      <c r="H80" t="str">
        <f>_xlfn.XLOOKUP(Prodeje[[#This Row],[Prodejce]],Obchodnici[Kód prodejce],Obchodnici[Region])</f>
        <v>Praha</v>
      </c>
    </row>
    <row r="81" spans="2:8" hidden="1" x14ac:dyDescent="0.25">
      <c r="B81" s="1">
        <v>45846</v>
      </c>
      <c r="C81" t="s">
        <v>159</v>
      </c>
      <c r="D81" t="s">
        <v>80</v>
      </c>
      <c r="E81" t="s">
        <v>14</v>
      </c>
      <c r="F81">
        <v>1</v>
      </c>
      <c r="G81" t="str">
        <f>_xlfn.XLOOKUP(Prodeje[[#This Row],[Prodejce]],Obchodnici[Kód prodejce],Obchodnici[Jméno])</f>
        <v>Sklenář</v>
      </c>
      <c r="H81" t="str">
        <f>_xlfn.XLOOKUP(Prodeje[[#This Row],[Prodejce]],Obchodnici[Kód prodejce],Obchodnici[Region])</f>
        <v>Praha</v>
      </c>
    </row>
    <row r="82" spans="2:8" hidden="1" x14ac:dyDescent="0.25">
      <c r="B82" s="1">
        <v>45881</v>
      </c>
      <c r="C82" t="s">
        <v>160</v>
      </c>
      <c r="D82" t="s">
        <v>80</v>
      </c>
      <c r="E82" t="s">
        <v>14</v>
      </c>
      <c r="F82">
        <v>1</v>
      </c>
      <c r="G82" t="str">
        <f>_xlfn.XLOOKUP(Prodeje[[#This Row],[Prodejce]],Obchodnici[Kód prodejce],Obchodnici[Jméno])</f>
        <v>Sklenář</v>
      </c>
      <c r="H82" t="str">
        <f>_xlfn.XLOOKUP(Prodeje[[#This Row],[Prodejce]],Obchodnici[Kód prodejce],Obchodnici[Region])</f>
        <v>Praha</v>
      </c>
    </row>
    <row r="83" spans="2:8" hidden="1" x14ac:dyDescent="0.25">
      <c r="B83" s="1">
        <v>45850</v>
      </c>
      <c r="C83" t="s">
        <v>161</v>
      </c>
      <c r="D83" t="s">
        <v>82</v>
      </c>
      <c r="E83" t="s">
        <v>14</v>
      </c>
      <c r="F83">
        <v>1</v>
      </c>
      <c r="G83" t="str">
        <f>_xlfn.XLOOKUP(Prodeje[[#This Row],[Prodejce]],Obchodnici[Kód prodejce],Obchodnici[Jméno])</f>
        <v>Sklenář</v>
      </c>
      <c r="H83" t="str">
        <f>_xlfn.XLOOKUP(Prodeje[[#This Row],[Prodejce]],Obchodnici[Kód prodejce],Obchodnici[Region])</f>
        <v>Praha</v>
      </c>
    </row>
    <row r="84" spans="2:8" hidden="1" x14ac:dyDescent="0.25">
      <c r="B84" s="1">
        <v>45921</v>
      </c>
      <c r="C84" t="s">
        <v>143</v>
      </c>
      <c r="D84" t="s">
        <v>80</v>
      </c>
      <c r="E84" t="s">
        <v>15</v>
      </c>
      <c r="F84">
        <v>1</v>
      </c>
      <c r="G84" t="str">
        <f>_xlfn.XLOOKUP(Prodeje[[#This Row],[Prodejce]],Obchodnici[Kód prodejce],Obchodnici[Jméno])</f>
        <v>Nebohý</v>
      </c>
      <c r="H84" t="str">
        <f>_xlfn.XLOOKUP(Prodeje[[#This Row],[Prodejce]],Obchodnici[Kód prodejce],Obchodnici[Region])</f>
        <v>Praha</v>
      </c>
    </row>
    <row r="85" spans="2:8" hidden="1" x14ac:dyDescent="0.25">
      <c r="B85" s="1">
        <v>45850</v>
      </c>
      <c r="C85" t="s">
        <v>163</v>
      </c>
      <c r="D85" t="s">
        <v>80</v>
      </c>
      <c r="E85" s="6" t="s">
        <v>14</v>
      </c>
      <c r="F85">
        <v>1</v>
      </c>
      <c r="G85" t="str">
        <f>_xlfn.XLOOKUP(Prodeje[[#This Row],[Prodejce]],Obchodnici[Kód prodejce],Obchodnici[Jméno])</f>
        <v>Sklenář</v>
      </c>
      <c r="H85" t="str">
        <f>_xlfn.XLOOKUP(Prodeje[[#This Row],[Prodejce]],Obchodnici[Kód prodejce],Obchodnici[Region])</f>
        <v>Praha</v>
      </c>
    </row>
    <row r="86" spans="2:8" hidden="1" x14ac:dyDescent="0.25">
      <c r="B86" s="1">
        <v>45881</v>
      </c>
      <c r="C86" t="s">
        <v>164</v>
      </c>
      <c r="D86" t="s">
        <v>80</v>
      </c>
      <c r="E86" t="s">
        <v>14</v>
      </c>
      <c r="F86">
        <v>1</v>
      </c>
      <c r="G86" t="str">
        <f>_xlfn.XLOOKUP(Prodeje[[#This Row],[Prodejce]],Obchodnici[Kód prodejce],Obchodnici[Jméno])</f>
        <v>Sklenář</v>
      </c>
      <c r="H86" t="str">
        <f>_xlfn.XLOOKUP(Prodeje[[#This Row],[Prodejce]],Obchodnici[Kód prodejce],Obchodnici[Region])</f>
        <v>Praha</v>
      </c>
    </row>
    <row r="87" spans="2:8" hidden="1" x14ac:dyDescent="0.25">
      <c r="B87" s="1">
        <v>45912</v>
      </c>
      <c r="C87" t="s">
        <v>162</v>
      </c>
      <c r="D87" t="s">
        <v>80</v>
      </c>
      <c r="E87" t="s">
        <v>14</v>
      </c>
      <c r="F87">
        <v>1</v>
      </c>
      <c r="G87" t="str">
        <f>_xlfn.XLOOKUP(Prodeje[[#This Row],[Prodejce]],Obchodnici[Kód prodejce],Obchodnici[Jméno])</f>
        <v>Sklenář</v>
      </c>
      <c r="H87" t="str">
        <f>_xlfn.XLOOKUP(Prodeje[[#This Row],[Prodejce]],Obchodnici[Kód prodejce],Obchodnici[Region])</f>
        <v>Praha</v>
      </c>
    </row>
    <row r="88" spans="2:8" hidden="1" x14ac:dyDescent="0.25">
      <c r="B88" s="1">
        <v>45851</v>
      </c>
      <c r="C88" t="s">
        <v>166</v>
      </c>
      <c r="D88" t="s">
        <v>80</v>
      </c>
      <c r="E88" t="s">
        <v>14</v>
      </c>
      <c r="F88">
        <v>1</v>
      </c>
      <c r="G88" t="str">
        <f>_xlfn.XLOOKUP(Prodeje[[#This Row],[Prodejce]],Obchodnici[Kód prodejce],Obchodnici[Jméno])</f>
        <v>Sklenář</v>
      </c>
      <c r="H88" t="str">
        <f>_xlfn.XLOOKUP(Prodeje[[#This Row],[Prodejce]],Obchodnici[Kód prodejce],Obchodnici[Region])</f>
        <v>Praha</v>
      </c>
    </row>
    <row r="89" spans="2:8" hidden="1" x14ac:dyDescent="0.25">
      <c r="B89" s="1">
        <v>45882</v>
      </c>
      <c r="C89" t="s">
        <v>167</v>
      </c>
      <c r="D89" t="s">
        <v>80</v>
      </c>
      <c r="E89" t="s">
        <v>14</v>
      </c>
      <c r="F89">
        <v>1</v>
      </c>
      <c r="G89" t="str">
        <f>_xlfn.XLOOKUP(Prodeje[[#This Row],[Prodejce]],Obchodnici[Kód prodejce],Obchodnici[Jméno])</f>
        <v>Sklenář</v>
      </c>
      <c r="H89" t="str">
        <f>_xlfn.XLOOKUP(Prodeje[[#This Row],[Prodejce]],Obchodnici[Kód prodejce],Obchodnici[Region])</f>
        <v>Praha</v>
      </c>
    </row>
    <row r="90" spans="2:8" hidden="1" x14ac:dyDescent="0.25">
      <c r="B90" s="1">
        <v>45912</v>
      </c>
      <c r="C90" t="s">
        <v>165</v>
      </c>
      <c r="D90" t="s">
        <v>80</v>
      </c>
      <c r="E90" t="s">
        <v>14</v>
      </c>
      <c r="F90">
        <v>1</v>
      </c>
      <c r="G90" t="str">
        <f>_xlfn.XLOOKUP(Prodeje[[#This Row],[Prodejce]],Obchodnici[Kód prodejce],Obchodnici[Jméno])</f>
        <v>Sklenář</v>
      </c>
      <c r="H90" t="str">
        <f>_xlfn.XLOOKUP(Prodeje[[#This Row],[Prodejce]],Obchodnici[Kód prodejce],Obchodnici[Region])</f>
        <v>Praha</v>
      </c>
    </row>
    <row r="91" spans="2:8" hidden="1" x14ac:dyDescent="0.25">
      <c r="B91" s="1">
        <v>45860</v>
      </c>
      <c r="C91" t="s">
        <v>169</v>
      </c>
      <c r="D91" t="s">
        <v>80</v>
      </c>
      <c r="E91" t="s">
        <v>14</v>
      </c>
      <c r="F91">
        <v>1</v>
      </c>
      <c r="G91" t="str">
        <f>_xlfn.XLOOKUP(Prodeje[[#This Row],[Prodejce]],Obchodnici[Kód prodejce],Obchodnici[Jméno])</f>
        <v>Sklenář</v>
      </c>
      <c r="H91" t="str">
        <f>_xlfn.XLOOKUP(Prodeje[[#This Row],[Prodejce]],Obchodnici[Kód prodejce],Obchodnici[Region])</f>
        <v>Praha</v>
      </c>
    </row>
    <row r="92" spans="2:8" hidden="1" x14ac:dyDescent="0.25">
      <c r="B92" s="1">
        <v>45913</v>
      </c>
      <c r="C92" t="s">
        <v>168</v>
      </c>
      <c r="D92" t="s">
        <v>80</v>
      </c>
      <c r="E92" t="s">
        <v>14</v>
      </c>
      <c r="F92">
        <v>1</v>
      </c>
      <c r="G92" t="str">
        <f>_xlfn.XLOOKUP(Prodeje[[#This Row],[Prodejce]],Obchodnici[Kód prodejce],Obchodnici[Jméno])</f>
        <v>Sklenář</v>
      </c>
      <c r="H92" t="str">
        <f>_xlfn.XLOOKUP(Prodeje[[#This Row],[Prodejce]],Obchodnici[Kód prodejce],Obchodnici[Region])</f>
        <v>Praha</v>
      </c>
    </row>
    <row r="93" spans="2:8" hidden="1" x14ac:dyDescent="0.25">
      <c r="B93" s="1">
        <v>45891</v>
      </c>
      <c r="C93" t="s">
        <v>171</v>
      </c>
      <c r="D93" t="s">
        <v>82</v>
      </c>
      <c r="E93" t="s">
        <v>14</v>
      </c>
      <c r="F93">
        <v>2</v>
      </c>
      <c r="G93" t="str">
        <f>_xlfn.XLOOKUP(Prodeje[[#This Row],[Prodejce]],Obchodnici[Kód prodejce],Obchodnici[Jméno])</f>
        <v>Sklenář</v>
      </c>
      <c r="H93" t="str">
        <f>_xlfn.XLOOKUP(Prodeje[[#This Row],[Prodejce]],Obchodnici[Kód prodejce],Obchodnici[Region])</f>
        <v>Praha</v>
      </c>
    </row>
    <row r="94" spans="2:8" hidden="1" x14ac:dyDescent="0.25">
      <c r="B94" s="1">
        <v>45875</v>
      </c>
      <c r="C94" t="s">
        <v>172</v>
      </c>
      <c r="D94" t="s">
        <v>80</v>
      </c>
      <c r="E94" t="s">
        <v>17</v>
      </c>
      <c r="F94">
        <v>1</v>
      </c>
      <c r="G94" t="str">
        <f>_xlfn.XLOOKUP(Prodeje[[#This Row],[Prodejce]],Obchodnici[Kód prodejce],Obchodnici[Jméno])</f>
        <v>Kovaříček</v>
      </c>
      <c r="H94" t="str">
        <f>_xlfn.XLOOKUP(Prodeje[[#This Row],[Prodejce]],Obchodnici[Kód prodejce],Obchodnici[Region])</f>
        <v>Severní Čechy</v>
      </c>
    </row>
    <row r="95" spans="2:8" hidden="1" x14ac:dyDescent="0.25">
      <c r="B95" s="1">
        <v>45844</v>
      </c>
      <c r="C95" t="s">
        <v>173</v>
      </c>
      <c r="D95" t="s">
        <v>80</v>
      </c>
      <c r="E95" t="s">
        <v>17</v>
      </c>
      <c r="F95">
        <v>1</v>
      </c>
      <c r="G95" t="str">
        <f>_xlfn.XLOOKUP(Prodeje[[#This Row],[Prodejce]],Obchodnici[Kód prodejce],Obchodnici[Jméno])</f>
        <v>Kovaříček</v>
      </c>
      <c r="H95" t="str">
        <f>_xlfn.XLOOKUP(Prodeje[[#This Row],[Prodejce]],Obchodnici[Kód prodejce],Obchodnici[Region])</f>
        <v>Severní Čechy</v>
      </c>
    </row>
    <row r="96" spans="2:8" hidden="1" x14ac:dyDescent="0.25">
      <c r="B96" s="1">
        <v>45850</v>
      </c>
      <c r="C96" t="s">
        <v>174</v>
      </c>
      <c r="D96" t="s">
        <v>80</v>
      </c>
      <c r="E96" t="s">
        <v>17</v>
      </c>
      <c r="F96">
        <v>1</v>
      </c>
      <c r="G96" t="str">
        <f>_xlfn.XLOOKUP(Prodeje[[#This Row],[Prodejce]],Obchodnici[Kód prodejce],Obchodnici[Jméno])</f>
        <v>Kovaříček</v>
      </c>
      <c r="H96" t="str">
        <f>_xlfn.XLOOKUP(Prodeje[[#This Row],[Prodejce]],Obchodnici[Kód prodejce],Obchodnici[Region])</f>
        <v>Severní Čechy</v>
      </c>
    </row>
    <row r="97" spans="2:8" hidden="1" x14ac:dyDescent="0.25">
      <c r="B97" s="1">
        <v>45881</v>
      </c>
      <c r="C97" t="s">
        <v>175</v>
      </c>
      <c r="D97" t="s">
        <v>80</v>
      </c>
      <c r="E97" t="s">
        <v>17</v>
      </c>
      <c r="F97">
        <v>1</v>
      </c>
      <c r="G97" t="str">
        <f>_xlfn.XLOOKUP(Prodeje[[#This Row],[Prodejce]],Obchodnici[Kód prodejce],Obchodnici[Jméno])</f>
        <v>Kovaříček</v>
      </c>
      <c r="H97" t="str">
        <f>_xlfn.XLOOKUP(Prodeje[[#This Row],[Prodejce]],Obchodnici[Kód prodejce],Obchodnici[Region])</f>
        <v>Severní Čechy</v>
      </c>
    </row>
    <row r="98" spans="2:8" hidden="1" x14ac:dyDescent="0.25">
      <c r="B98" s="1">
        <v>45922</v>
      </c>
      <c r="C98" t="s">
        <v>170</v>
      </c>
      <c r="D98" t="s">
        <v>80</v>
      </c>
      <c r="E98" t="s">
        <v>14</v>
      </c>
      <c r="F98">
        <v>1</v>
      </c>
      <c r="G98" t="str">
        <f>_xlfn.XLOOKUP(Prodeje[[#This Row],[Prodejce]],Obchodnici[Kód prodejce],Obchodnici[Jméno])</f>
        <v>Sklenář</v>
      </c>
      <c r="H98" t="str">
        <f>_xlfn.XLOOKUP(Prodeje[[#This Row],[Prodejce]],Obchodnici[Kód prodejce],Obchodnici[Region])</f>
        <v>Praha</v>
      </c>
    </row>
    <row r="99" spans="2:8" hidden="1" x14ac:dyDescent="0.25">
      <c r="B99" s="1">
        <v>45854</v>
      </c>
      <c r="C99" t="s">
        <v>177</v>
      </c>
      <c r="D99" t="s">
        <v>80</v>
      </c>
      <c r="E99" t="s">
        <v>17</v>
      </c>
      <c r="F99">
        <v>1</v>
      </c>
      <c r="G99" t="str">
        <f>_xlfn.XLOOKUP(Prodeje[[#This Row],[Prodejce]],Obchodnici[Kód prodejce],Obchodnici[Jméno])</f>
        <v>Kovaříček</v>
      </c>
      <c r="H99" t="str">
        <f>_xlfn.XLOOKUP(Prodeje[[#This Row],[Prodejce]],Obchodnici[Kód prodejce],Obchodnici[Region])</f>
        <v>Severní Čechy</v>
      </c>
    </row>
    <row r="100" spans="2:8" hidden="1" x14ac:dyDescent="0.25">
      <c r="B100" s="1">
        <v>45854</v>
      </c>
      <c r="C100" t="s">
        <v>178</v>
      </c>
      <c r="D100" t="s">
        <v>80</v>
      </c>
      <c r="E100" t="s">
        <v>17</v>
      </c>
      <c r="F100">
        <v>1</v>
      </c>
      <c r="G100" t="str">
        <f>_xlfn.XLOOKUP(Prodeje[[#This Row],[Prodejce]],Obchodnici[Kód prodejce],Obchodnici[Jméno])</f>
        <v>Kovaříček</v>
      </c>
      <c r="H100" t="str">
        <f>_xlfn.XLOOKUP(Prodeje[[#This Row],[Prodejce]],Obchodnici[Kód prodejce],Obchodnici[Region])</f>
        <v>Severní Čechy</v>
      </c>
    </row>
    <row r="101" spans="2:8" hidden="1" x14ac:dyDescent="0.25">
      <c r="B101" s="1">
        <v>45885</v>
      </c>
      <c r="C101" t="s">
        <v>179</v>
      </c>
      <c r="D101" t="s">
        <v>80</v>
      </c>
      <c r="E101" t="s">
        <v>17</v>
      </c>
      <c r="F101">
        <v>1</v>
      </c>
      <c r="G101" t="str">
        <f>_xlfn.XLOOKUP(Prodeje[[#This Row],[Prodejce]],Obchodnici[Kód prodejce],Obchodnici[Jméno])</f>
        <v>Kovaříček</v>
      </c>
      <c r="H101" t="str">
        <f>_xlfn.XLOOKUP(Prodeje[[#This Row],[Prodejce]],Obchodnici[Kód prodejce],Obchodnici[Region])</f>
        <v>Severní Čechy</v>
      </c>
    </row>
    <row r="102" spans="2:8" hidden="1" x14ac:dyDescent="0.25">
      <c r="B102" s="1">
        <v>45856</v>
      </c>
      <c r="C102" t="s">
        <v>180</v>
      </c>
      <c r="D102" t="s">
        <v>80</v>
      </c>
      <c r="E102" t="s">
        <v>11</v>
      </c>
      <c r="F102">
        <v>1</v>
      </c>
      <c r="G102" t="str">
        <f>_xlfn.XLOOKUP(Prodeje[[#This Row],[Prodejce]],Obchodnici[Kód prodejce],Obchodnici[Jméno])</f>
        <v>Koutník</v>
      </c>
      <c r="H102" t="str">
        <f>_xlfn.XLOOKUP(Prodeje[[#This Row],[Prodejce]],Obchodnici[Kód prodejce],Obchodnici[Region])</f>
        <v>Východní Čechy</v>
      </c>
    </row>
    <row r="103" spans="2:8" hidden="1" x14ac:dyDescent="0.25">
      <c r="B103" s="1">
        <v>45912</v>
      </c>
      <c r="C103" t="s">
        <v>176</v>
      </c>
      <c r="D103" t="s">
        <v>80</v>
      </c>
      <c r="E103" t="s">
        <v>17</v>
      </c>
      <c r="F103">
        <v>1</v>
      </c>
      <c r="G103" t="str">
        <f>_xlfn.XLOOKUP(Prodeje[[#This Row],[Prodejce]],Obchodnici[Kód prodejce],Obchodnici[Jméno])</f>
        <v>Kovaříček</v>
      </c>
      <c r="H103" t="str">
        <f>_xlfn.XLOOKUP(Prodeje[[#This Row],[Prodejce]],Obchodnici[Kód prodejce],Obchodnici[Region])</f>
        <v>Severní Čechy</v>
      </c>
    </row>
    <row r="104" spans="2:8" hidden="1" x14ac:dyDescent="0.25">
      <c r="B104" s="1">
        <v>45887</v>
      </c>
      <c r="C104" t="s">
        <v>182</v>
      </c>
      <c r="D104" t="s">
        <v>82</v>
      </c>
      <c r="E104" t="s">
        <v>11</v>
      </c>
      <c r="F104">
        <v>1</v>
      </c>
      <c r="G104" t="str">
        <f>_xlfn.XLOOKUP(Prodeje[[#This Row],[Prodejce]],Obchodnici[Kód prodejce],Obchodnici[Jméno])</f>
        <v>Koutník</v>
      </c>
      <c r="H104" t="str">
        <f>_xlfn.XLOOKUP(Prodeje[[#This Row],[Prodejce]],Obchodnici[Kód prodejce],Obchodnici[Region])</f>
        <v>Východní Čechy</v>
      </c>
    </row>
    <row r="105" spans="2:8" hidden="1" x14ac:dyDescent="0.25">
      <c r="B105" s="1">
        <v>45868</v>
      </c>
      <c r="C105" t="s">
        <v>183</v>
      </c>
      <c r="D105" t="s">
        <v>80</v>
      </c>
      <c r="E105" t="s">
        <v>17</v>
      </c>
      <c r="F105">
        <v>1</v>
      </c>
      <c r="G105" t="str">
        <f>_xlfn.XLOOKUP(Prodeje[[#This Row],[Prodejce]],Obchodnici[Kód prodejce],Obchodnici[Jméno])</f>
        <v>Kovaříček</v>
      </c>
      <c r="H105" t="str">
        <f>_xlfn.XLOOKUP(Prodeje[[#This Row],[Prodejce]],Obchodnici[Kód prodejce],Obchodnici[Region])</f>
        <v>Severní Čechy</v>
      </c>
    </row>
    <row r="106" spans="2:8" hidden="1" x14ac:dyDescent="0.25">
      <c r="B106" s="1">
        <v>45899</v>
      </c>
      <c r="C106" t="s">
        <v>184</v>
      </c>
      <c r="D106" t="s">
        <v>80</v>
      </c>
      <c r="E106" t="s">
        <v>17</v>
      </c>
      <c r="F106">
        <v>1</v>
      </c>
      <c r="G106" t="str">
        <f>_xlfn.XLOOKUP(Prodeje[[#This Row],[Prodejce]],Obchodnici[Kód prodejce],Obchodnici[Jméno])</f>
        <v>Kovaříček</v>
      </c>
      <c r="H106" t="str">
        <f>_xlfn.XLOOKUP(Prodeje[[#This Row],[Prodejce]],Obchodnici[Kód prodejce],Obchodnici[Region])</f>
        <v>Severní Čechy</v>
      </c>
    </row>
    <row r="107" spans="2:8" hidden="1" x14ac:dyDescent="0.25">
      <c r="B107" s="1">
        <v>45899</v>
      </c>
      <c r="C107" t="s">
        <v>185</v>
      </c>
      <c r="D107" t="s">
        <v>80</v>
      </c>
      <c r="E107" t="s">
        <v>17</v>
      </c>
      <c r="F107">
        <v>2</v>
      </c>
      <c r="G107" t="str">
        <f>_xlfn.XLOOKUP(Prodeje[[#This Row],[Prodejce]],Obchodnici[Kód prodejce],Obchodnici[Jméno])</f>
        <v>Kovaříček</v>
      </c>
      <c r="H107" t="str">
        <f>_xlfn.XLOOKUP(Prodeje[[#This Row],[Prodejce]],Obchodnici[Kód prodejce],Obchodnici[Region])</f>
        <v>Severní Čechy</v>
      </c>
    </row>
    <row r="108" spans="2:8" hidden="1" x14ac:dyDescent="0.25">
      <c r="B108" s="1">
        <v>45840</v>
      </c>
      <c r="C108" t="s">
        <v>186</v>
      </c>
      <c r="D108" t="s">
        <v>80</v>
      </c>
      <c r="E108" t="s">
        <v>18</v>
      </c>
      <c r="F108">
        <v>1</v>
      </c>
      <c r="G108" t="str">
        <f>_xlfn.XLOOKUP(Prodeje[[#This Row],[Prodejce]],Obchodnici[Kód prodejce],Obchodnici[Jméno])</f>
        <v>Holý</v>
      </c>
      <c r="H108" t="str">
        <f>_xlfn.XLOOKUP(Prodeje[[#This Row],[Prodejce]],Obchodnici[Kód prodejce],Obchodnici[Region])</f>
        <v>Jižní Čechy</v>
      </c>
    </row>
    <row r="109" spans="2:8" hidden="1" x14ac:dyDescent="0.25">
      <c r="B109" s="1">
        <v>45871</v>
      </c>
      <c r="C109" t="s">
        <v>187</v>
      </c>
      <c r="D109" t="s">
        <v>80</v>
      </c>
      <c r="E109" t="s">
        <v>18</v>
      </c>
      <c r="F109">
        <v>2</v>
      </c>
      <c r="G109" t="str">
        <f>_xlfn.XLOOKUP(Prodeje[[#This Row],[Prodejce]],Obchodnici[Kód prodejce],Obchodnici[Jméno])</f>
        <v>Holý</v>
      </c>
      <c r="H109" t="str">
        <f>_xlfn.XLOOKUP(Prodeje[[#This Row],[Prodejce]],Obchodnici[Kód prodejce],Obchodnici[Region])</f>
        <v>Jižní Čechy</v>
      </c>
    </row>
    <row r="110" spans="2:8" hidden="1" x14ac:dyDescent="0.25">
      <c r="B110" s="1">
        <v>45850</v>
      </c>
      <c r="C110" t="s">
        <v>188</v>
      </c>
      <c r="D110" t="s">
        <v>80</v>
      </c>
      <c r="E110" t="s">
        <v>18</v>
      </c>
      <c r="F110">
        <v>1</v>
      </c>
      <c r="G110" t="str">
        <f>_xlfn.XLOOKUP(Prodeje[[#This Row],[Prodejce]],Obchodnici[Kód prodejce],Obchodnici[Jméno])</f>
        <v>Holý</v>
      </c>
      <c r="H110" t="str">
        <f>_xlfn.XLOOKUP(Prodeje[[#This Row],[Prodejce]],Obchodnici[Kód prodejce],Obchodnici[Region])</f>
        <v>Jižní Čechy</v>
      </c>
    </row>
    <row r="111" spans="2:8" hidden="1" x14ac:dyDescent="0.25">
      <c r="B111" s="1">
        <v>45881</v>
      </c>
      <c r="C111" t="s">
        <v>189</v>
      </c>
      <c r="D111" t="s">
        <v>80</v>
      </c>
      <c r="E111" t="s">
        <v>18</v>
      </c>
      <c r="F111">
        <v>1</v>
      </c>
      <c r="G111" t="str">
        <f>_xlfn.XLOOKUP(Prodeje[[#This Row],[Prodejce]],Obchodnici[Kód prodejce],Obchodnici[Jméno])</f>
        <v>Holý</v>
      </c>
      <c r="H111" t="str">
        <f>_xlfn.XLOOKUP(Prodeje[[#This Row],[Prodejce]],Obchodnici[Kód prodejce],Obchodnici[Region])</f>
        <v>Jižní Čechy</v>
      </c>
    </row>
    <row r="112" spans="2:8" hidden="1" x14ac:dyDescent="0.25">
      <c r="B112" s="1">
        <v>45918</v>
      </c>
      <c r="C112" t="s">
        <v>181</v>
      </c>
      <c r="D112" t="s">
        <v>80</v>
      </c>
      <c r="E112" s="6" t="s">
        <v>11</v>
      </c>
      <c r="F112">
        <v>1</v>
      </c>
      <c r="G112" t="str">
        <f>_xlfn.XLOOKUP(Prodeje[[#This Row],[Prodejce]],Obchodnici[Kód prodejce],Obchodnici[Jméno])</f>
        <v>Koutník</v>
      </c>
      <c r="H112" t="str">
        <f>_xlfn.XLOOKUP(Prodeje[[#This Row],[Prodejce]],Obchodnici[Kód prodejce],Obchodnici[Region])</f>
        <v>Východní Čechy</v>
      </c>
    </row>
    <row r="113" spans="2:14" hidden="1" x14ac:dyDescent="0.25">
      <c r="B113" s="1">
        <v>45866</v>
      </c>
      <c r="C113" t="s">
        <v>191</v>
      </c>
      <c r="D113" t="s">
        <v>80</v>
      </c>
      <c r="E113" t="s">
        <v>18</v>
      </c>
      <c r="F113">
        <v>1</v>
      </c>
      <c r="G113" t="str">
        <f>_xlfn.XLOOKUP(Prodeje[[#This Row],[Prodejce]],Obchodnici[Kód prodejce],Obchodnici[Jméno])</f>
        <v>Holý</v>
      </c>
      <c r="H113" t="str">
        <f>_xlfn.XLOOKUP(Prodeje[[#This Row],[Prodejce]],Obchodnici[Kód prodejce],Obchodnici[Region])</f>
        <v>Jižní Čechy</v>
      </c>
    </row>
    <row r="114" spans="2:14" x14ac:dyDescent="0.25">
      <c r="B114" s="1">
        <v>45928</v>
      </c>
      <c r="C114" t="s">
        <v>192</v>
      </c>
      <c r="D114" t="s">
        <v>81</v>
      </c>
      <c r="E114" t="s">
        <v>18</v>
      </c>
      <c r="F114">
        <v>1</v>
      </c>
      <c r="G114" t="str">
        <f>_xlfn.XLOOKUP(Prodeje[[#This Row],[Prodejce]],Obchodnici[Kód prodejce],Obchodnici[Jméno])</f>
        <v>Holý</v>
      </c>
      <c r="H114" t="str">
        <f>_xlfn.XLOOKUP(Prodeje[[#This Row],[Prodejce]],Obchodnici[Kód prodejce],Obchodnici[Region])</f>
        <v>Jižní Čechy</v>
      </c>
    </row>
    <row r="115" spans="2:14" hidden="1" x14ac:dyDescent="0.25">
      <c r="B115" s="1">
        <v>45897</v>
      </c>
      <c r="C115" t="s">
        <v>193</v>
      </c>
      <c r="D115" t="s">
        <v>80</v>
      </c>
      <c r="E115" t="s">
        <v>18</v>
      </c>
      <c r="F115">
        <v>1</v>
      </c>
      <c r="G115" t="str">
        <f>_xlfn.XLOOKUP(Prodeje[[#This Row],[Prodejce]],Obchodnici[Kód prodejce],Obchodnici[Jméno])</f>
        <v>Holý</v>
      </c>
      <c r="H115" t="str">
        <f>_xlfn.XLOOKUP(Prodeje[[#This Row],[Prodejce]],Obchodnici[Kód prodejce],Obchodnici[Region])</f>
        <v>Jižní Čechy</v>
      </c>
    </row>
    <row r="116" spans="2:14" hidden="1" x14ac:dyDescent="0.25">
      <c r="B116" s="1">
        <v>45840</v>
      </c>
      <c r="C116" t="s">
        <v>194</v>
      </c>
      <c r="D116" t="s">
        <v>80</v>
      </c>
      <c r="E116" t="s">
        <v>19</v>
      </c>
      <c r="F116">
        <v>1</v>
      </c>
      <c r="G116" t="str">
        <f>_xlfn.XLOOKUP(Prodeje[[#This Row],[Prodejce]],Obchodnici[Kód prodejce],Obchodnici[Jméno])</f>
        <v>Havelka</v>
      </c>
      <c r="H116" t="str">
        <f>_xlfn.XLOOKUP(Prodeje[[#This Row],[Prodejce]],Obchodnici[Kód prodejce],Obchodnici[Region])</f>
        <v>Západní Čechy</v>
      </c>
    </row>
    <row r="117" spans="2:14" hidden="1" x14ac:dyDescent="0.25">
      <c r="B117" s="1">
        <v>45871</v>
      </c>
      <c r="C117" t="s">
        <v>195</v>
      </c>
      <c r="D117" t="s">
        <v>80</v>
      </c>
      <c r="E117" t="s">
        <v>19</v>
      </c>
      <c r="F117">
        <v>1</v>
      </c>
      <c r="G117" t="str">
        <f>_xlfn.XLOOKUP(Prodeje[[#This Row],[Prodejce]],Obchodnici[Kód prodejce],Obchodnici[Jméno])</f>
        <v>Havelka</v>
      </c>
      <c r="H117" t="str">
        <f>_xlfn.XLOOKUP(Prodeje[[#This Row],[Prodejce]],Obchodnici[Kód prodejce],Obchodnici[Region])</f>
        <v>Západní Čechy</v>
      </c>
    </row>
    <row r="118" spans="2:14" hidden="1" x14ac:dyDescent="0.25">
      <c r="B118" s="1">
        <v>45840</v>
      </c>
      <c r="C118" t="s">
        <v>196</v>
      </c>
      <c r="D118" t="s">
        <v>80</v>
      </c>
      <c r="E118" t="s">
        <v>19</v>
      </c>
      <c r="F118">
        <v>1</v>
      </c>
      <c r="G118" t="str">
        <f>_xlfn.XLOOKUP(Prodeje[[#This Row],[Prodejce]],Obchodnici[Kód prodejce],Obchodnici[Jméno])</f>
        <v>Havelka</v>
      </c>
      <c r="H118" t="str">
        <f>_xlfn.XLOOKUP(Prodeje[[#This Row],[Prodejce]],Obchodnici[Kód prodejce],Obchodnici[Region])</f>
        <v>Západní Čechy</v>
      </c>
    </row>
    <row r="119" spans="2:14" hidden="1" x14ac:dyDescent="0.25">
      <c r="B119" s="1">
        <v>45871</v>
      </c>
      <c r="C119" t="s">
        <v>197</v>
      </c>
      <c r="D119" t="s">
        <v>80</v>
      </c>
      <c r="E119" t="s">
        <v>19</v>
      </c>
      <c r="F119">
        <v>1</v>
      </c>
      <c r="G119" t="str">
        <f>_xlfn.XLOOKUP(Prodeje[[#This Row],[Prodejce]],Obchodnici[Kód prodejce],Obchodnici[Jméno])</f>
        <v>Havelka</v>
      </c>
      <c r="H119" t="str">
        <f>_xlfn.XLOOKUP(Prodeje[[#This Row],[Prodejce]],Obchodnici[Kód prodejce],Obchodnici[Region])</f>
        <v>Západní Čechy</v>
      </c>
    </row>
    <row r="120" spans="2:14" hidden="1" x14ac:dyDescent="0.25">
      <c r="B120" s="1">
        <v>45852</v>
      </c>
      <c r="C120" t="s">
        <v>198</v>
      </c>
      <c r="D120" t="s">
        <v>80</v>
      </c>
      <c r="E120" t="s">
        <v>19</v>
      </c>
      <c r="F120">
        <v>2</v>
      </c>
      <c r="G120" t="str">
        <f>_xlfn.XLOOKUP(Prodeje[[#This Row],[Prodejce]],Obchodnici[Kód prodejce],Obchodnici[Jméno])</f>
        <v>Havelka</v>
      </c>
      <c r="H120" t="str">
        <f>_xlfn.XLOOKUP(Prodeje[[#This Row],[Prodejce]],Obchodnici[Kód prodejce],Obchodnici[Region])</f>
        <v>Západní Čechy</v>
      </c>
    </row>
    <row r="121" spans="2:14" hidden="1" x14ac:dyDescent="0.25">
      <c r="B121" s="1">
        <v>45852</v>
      </c>
      <c r="C121" t="s">
        <v>199</v>
      </c>
      <c r="D121" t="s">
        <v>80</v>
      </c>
      <c r="E121" t="s">
        <v>19</v>
      </c>
      <c r="F121">
        <v>2</v>
      </c>
      <c r="G121" t="str">
        <f>_xlfn.XLOOKUP(Prodeje[[#This Row],[Prodejce]],Obchodnici[Kód prodejce],Obchodnici[Jméno])</f>
        <v>Havelka</v>
      </c>
      <c r="H121" t="str">
        <f>_xlfn.XLOOKUP(Prodeje[[#This Row],[Prodejce]],Obchodnici[Kód prodejce],Obchodnici[Region])</f>
        <v>Západní Čechy</v>
      </c>
    </row>
    <row r="122" spans="2:14" hidden="1" x14ac:dyDescent="0.25">
      <c r="B122" s="1">
        <v>45883</v>
      </c>
      <c r="C122" t="s">
        <v>200</v>
      </c>
      <c r="D122" t="s">
        <v>80</v>
      </c>
      <c r="E122" t="s">
        <v>19</v>
      </c>
      <c r="F122">
        <v>1</v>
      </c>
      <c r="G122" t="str">
        <f>_xlfn.XLOOKUP(Prodeje[[#This Row],[Prodejce]],Obchodnici[Kód prodejce],Obchodnici[Jméno])</f>
        <v>Havelka</v>
      </c>
      <c r="H122" t="str">
        <f>_xlfn.XLOOKUP(Prodeje[[#This Row],[Prodejce]],Obchodnici[Kód prodejce],Obchodnici[Region])</f>
        <v>Západní Čechy</v>
      </c>
    </row>
    <row r="123" spans="2:14" hidden="1" x14ac:dyDescent="0.25">
      <c r="B123" s="1">
        <v>45856</v>
      </c>
      <c r="C123" t="s">
        <v>201</v>
      </c>
      <c r="D123" t="s">
        <v>80</v>
      </c>
      <c r="E123" s="6" t="s">
        <v>15</v>
      </c>
      <c r="F123">
        <v>2</v>
      </c>
      <c r="G123" t="str">
        <f>_xlfn.XLOOKUP(Prodeje[[#This Row],[Prodejce]],Obchodnici[Kód prodejce],Obchodnici[Jméno])</f>
        <v>Nebohý</v>
      </c>
      <c r="H123" t="str">
        <f>_xlfn.XLOOKUP(Prodeje[[#This Row],[Prodejce]],Obchodnici[Kód prodejce],Obchodnici[Region])</f>
        <v>Praha</v>
      </c>
    </row>
    <row r="124" spans="2:14" hidden="1" x14ac:dyDescent="0.25">
      <c r="B124" s="1">
        <v>45918</v>
      </c>
      <c r="C124" t="s">
        <v>202</v>
      </c>
      <c r="D124" t="s">
        <v>82</v>
      </c>
      <c r="E124" t="s">
        <v>15</v>
      </c>
      <c r="F124">
        <v>2</v>
      </c>
      <c r="G124" t="str">
        <f>_xlfn.XLOOKUP(Prodeje[[#This Row],[Prodejce]],Obchodnici[Kód prodejce],Obchodnici[Jméno])</f>
        <v>Nebohý</v>
      </c>
      <c r="H124" t="str">
        <f>_xlfn.XLOOKUP(Prodeje[[#This Row],[Prodejce]],Obchodnici[Kód prodejce],Obchodnici[Region])</f>
        <v>Praha</v>
      </c>
    </row>
    <row r="125" spans="2:14" hidden="1" x14ac:dyDescent="0.25">
      <c r="B125" s="1">
        <v>45887</v>
      </c>
      <c r="C125" t="s">
        <v>203</v>
      </c>
      <c r="D125" t="s">
        <v>80</v>
      </c>
      <c r="E125" t="s">
        <v>15</v>
      </c>
      <c r="F125">
        <v>1</v>
      </c>
      <c r="G125" t="str">
        <f>_xlfn.XLOOKUP(Prodeje[[#This Row],[Prodejce]],Obchodnici[Kód prodejce],Obchodnici[Jméno])</f>
        <v>Nebohý</v>
      </c>
      <c r="H125" t="str">
        <f>_xlfn.XLOOKUP(Prodeje[[#This Row],[Prodejce]],Obchodnici[Kód prodejce],Obchodnici[Region])</f>
        <v>Praha</v>
      </c>
    </row>
    <row r="126" spans="2:14" hidden="1" x14ac:dyDescent="0.25">
      <c r="B126" s="1">
        <v>45857</v>
      </c>
      <c r="C126" t="s">
        <v>204</v>
      </c>
      <c r="D126" t="s">
        <v>80</v>
      </c>
      <c r="E126" t="s">
        <v>16</v>
      </c>
      <c r="F126">
        <v>1</v>
      </c>
      <c r="G126" t="str">
        <f>_xlfn.XLOOKUP(Prodeje[[#This Row],[Prodejce]],Obchodnici[Kód prodejce],Obchodnici[Jméno])</f>
        <v>Jarník</v>
      </c>
      <c r="H126" t="str">
        <f>_xlfn.XLOOKUP(Prodeje[[#This Row],[Prodejce]],Obchodnici[Kód prodejce],Obchodnici[Region])</f>
        <v>Praha</v>
      </c>
    </row>
    <row r="127" spans="2:14" x14ac:dyDescent="0.25">
      <c r="B127" s="1">
        <v>45919</v>
      </c>
      <c r="C127" t="s">
        <v>205</v>
      </c>
      <c r="D127" t="s">
        <v>81</v>
      </c>
      <c r="E127" t="s">
        <v>16</v>
      </c>
      <c r="F127">
        <v>1</v>
      </c>
      <c r="G127" t="str">
        <f>_xlfn.XLOOKUP(Prodeje[[#This Row],[Prodejce]],Obchodnici[Kód prodejce],Obchodnici[Jméno])</f>
        <v>Jarník</v>
      </c>
      <c r="H127" t="str">
        <f>_xlfn.XLOOKUP(Prodeje[[#This Row],[Prodejce]],Obchodnici[Kód prodejce],Obchodnici[Region])</f>
        <v>Praha</v>
      </c>
      <c r="M127" s="10">
        <v>250</v>
      </c>
      <c r="N127" t="s">
        <v>439</v>
      </c>
    </row>
    <row r="128" spans="2:14" hidden="1" x14ac:dyDescent="0.25">
      <c r="B128" s="1">
        <v>45888</v>
      </c>
      <c r="C128" t="s">
        <v>206</v>
      </c>
      <c r="D128" t="s">
        <v>80</v>
      </c>
      <c r="E128" t="s">
        <v>16</v>
      </c>
      <c r="F128">
        <v>1</v>
      </c>
      <c r="G128" t="str">
        <f>_xlfn.XLOOKUP(Prodeje[[#This Row],[Prodejce]],Obchodnici[Kód prodejce],Obchodnici[Jméno])</f>
        <v>Jarník</v>
      </c>
      <c r="H128" t="str">
        <f>_xlfn.XLOOKUP(Prodeje[[#This Row],[Prodejce]],Obchodnici[Kód prodejce],Obchodnici[Region])</f>
        <v>Praha</v>
      </c>
    </row>
    <row r="129" spans="2:8" hidden="1" x14ac:dyDescent="0.25">
      <c r="B129" s="1">
        <v>45865</v>
      </c>
      <c r="C129" t="s">
        <v>207</v>
      </c>
      <c r="D129" t="s">
        <v>80</v>
      </c>
      <c r="E129" t="s">
        <v>15</v>
      </c>
      <c r="F129">
        <v>1</v>
      </c>
      <c r="G129" t="str">
        <f>_xlfn.XLOOKUP(Prodeje[[#This Row],[Prodejce]],Obchodnici[Kód prodejce],Obchodnici[Jméno])</f>
        <v>Nebohý</v>
      </c>
      <c r="H129" t="str">
        <f>_xlfn.XLOOKUP(Prodeje[[#This Row],[Prodejce]],Obchodnici[Kód prodejce],Obchodnici[Region])</f>
        <v>Praha</v>
      </c>
    </row>
    <row r="130" spans="2:8" hidden="1" x14ac:dyDescent="0.25">
      <c r="B130" s="1">
        <v>45896</v>
      </c>
      <c r="C130" t="s">
        <v>208</v>
      </c>
      <c r="D130" t="s">
        <v>80</v>
      </c>
      <c r="E130" t="s">
        <v>15</v>
      </c>
      <c r="F130">
        <v>1</v>
      </c>
      <c r="G130" t="str">
        <f>_xlfn.XLOOKUP(Prodeje[[#This Row],[Prodejce]],Obchodnici[Kód prodejce],Obchodnici[Jméno])</f>
        <v>Nebohý</v>
      </c>
      <c r="H130" t="str">
        <f>_xlfn.XLOOKUP(Prodeje[[#This Row],[Prodejce]],Obchodnici[Kód prodejce],Obchodnici[Region])</f>
        <v>Praha</v>
      </c>
    </row>
    <row r="131" spans="2:8" hidden="1" x14ac:dyDescent="0.25">
      <c r="B131" s="1">
        <v>45896</v>
      </c>
      <c r="C131" t="s">
        <v>209</v>
      </c>
      <c r="D131" t="s">
        <v>80</v>
      </c>
      <c r="E131" t="s">
        <v>15</v>
      </c>
      <c r="F131">
        <v>1</v>
      </c>
      <c r="G131" t="str">
        <f>_xlfn.XLOOKUP(Prodeje[[#This Row],[Prodejce]],Obchodnici[Kód prodejce],Obchodnici[Jméno])</f>
        <v>Nebohý</v>
      </c>
      <c r="H131" t="str">
        <f>_xlfn.XLOOKUP(Prodeje[[#This Row],[Prodejce]],Obchodnici[Kód prodejce],Obchodnici[Region])</f>
        <v>Praha</v>
      </c>
    </row>
    <row r="132" spans="2:8" hidden="1" x14ac:dyDescent="0.25">
      <c r="B132" s="1">
        <v>45840</v>
      </c>
      <c r="C132" t="s">
        <v>210</v>
      </c>
      <c r="D132" t="s">
        <v>80</v>
      </c>
      <c r="E132" t="s">
        <v>20</v>
      </c>
      <c r="F132">
        <v>1</v>
      </c>
      <c r="G132" t="str">
        <f>_xlfn.XLOOKUP(Prodeje[[#This Row],[Prodejce]],Obchodnici[Kód prodejce],Obchodnici[Jméno])</f>
        <v>Koutný</v>
      </c>
      <c r="H132" t="str">
        <f>_xlfn.XLOOKUP(Prodeje[[#This Row],[Prodejce]],Obchodnici[Kód prodejce],Obchodnici[Region])</f>
        <v>Jižní Čechy</v>
      </c>
    </row>
    <row r="133" spans="2:8" hidden="1" x14ac:dyDescent="0.25">
      <c r="B133" s="1">
        <v>45871</v>
      </c>
      <c r="C133" t="s">
        <v>211</v>
      </c>
      <c r="D133" t="s">
        <v>80</v>
      </c>
      <c r="E133" t="s">
        <v>20</v>
      </c>
      <c r="F133">
        <v>1</v>
      </c>
      <c r="G133" t="str">
        <f>_xlfn.XLOOKUP(Prodeje[[#This Row],[Prodejce]],Obchodnici[Kód prodejce],Obchodnici[Jméno])</f>
        <v>Koutný</v>
      </c>
      <c r="H133" t="str">
        <f>_xlfn.XLOOKUP(Prodeje[[#This Row],[Prodejce]],Obchodnici[Kód prodejce],Obchodnici[Region])</f>
        <v>Jižní Čechy</v>
      </c>
    </row>
    <row r="134" spans="2:8" hidden="1" x14ac:dyDescent="0.25">
      <c r="B134" s="1">
        <v>45854</v>
      </c>
      <c r="C134" t="s">
        <v>212</v>
      </c>
      <c r="D134" t="s">
        <v>80</v>
      </c>
      <c r="E134" t="s">
        <v>21</v>
      </c>
      <c r="F134">
        <v>1</v>
      </c>
      <c r="G134" t="str">
        <f>_xlfn.XLOOKUP(Prodeje[[#This Row],[Prodejce]],Obchodnici[Kód prodejce],Obchodnici[Jméno])</f>
        <v>Nováček</v>
      </c>
      <c r="H134" t="str">
        <f>_xlfn.XLOOKUP(Prodeje[[#This Row],[Prodejce]],Obchodnici[Kód prodejce],Obchodnici[Region])</f>
        <v>Severní Čechy</v>
      </c>
    </row>
    <row r="135" spans="2:8" x14ac:dyDescent="0.25">
      <c r="B135" s="1">
        <v>45916</v>
      </c>
      <c r="C135" t="s">
        <v>213</v>
      </c>
      <c r="D135" t="s">
        <v>81</v>
      </c>
      <c r="E135" t="s">
        <v>21</v>
      </c>
      <c r="F135">
        <v>1</v>
      </c>
      <c r="G135" t="str">
        <f>_xlfn.XLOOKUP(Prodeje[[#This Row],[Prodejce]],Obchodnici[Kód prodejce],Obchodnici[Jméno])</f>
        <v>Nováček</v>
      </c>
      <c r="H135" t="str">
        <f>_xlfn.XLOOKUP(Prodeje[[#This Row],[Prodejce]],Obchodnici[Kód prodejce],Obchodnici[Region])</f>
        <v>Severní Čechy</v>
      </c>
    </row>
    <row r="136" spans="2:8" hidden="1" x14ac:dyDescent="0.25">
      <c r="B136" s="1">
        <v>45885</v>
      </c>
      <c r="C136" t="s">
        <v>214</v>
      </c>
      <c r="D136" t="s">
        <v>80</v>
      </c>
      <c r="E136" s="6" t="s">
        <v>21</v>
      </c>
      <c r="F136">
        <v>1</v>
      </c>
      <c r="G136" t="str">
        <f>_xlfn.XLOOKUP(Prodeje[[#This Row],[Prodejce]],Obchodnici[Kód prodejce],Obchodnici[Jméno])</f>
        <v>Nováček</v>
      </c>
      <c r="H136" t="str">
        <f>_xlfn.XLOOKUP(Prodeje[[#This Row],[Prodejce]],Obchodnici[Kód prodejce],Obchodnici[Region])</f>
        <v>Severní Čechy</v>
      </c>
    </row>
    <row r="137" spans="2:8" hidden="1" x14ac:dyDescent="0.25">
      <c r="B137" s="1">
        <v>45860</v>
      </c>
      <c r="C137" t="s">
        <v>215</v>
      </c>
      <c r="D137" t="s">
        <v>80</v>
      </c>
      <c r="E137" t="s">
        <v>21</v>
      </c>
      <c r="F137">
        <v>1</v>
      </c>
      <c r="G137" t="str">
        <f>_xlfn.XLOOKUP(Prodeje[[#This Row],[Prodejce]],Obchodnici[Kód prodejce],Obchodnici[Jméno])</f>
        <v>Nováček</v>
      </c>
      <c r="H137" t="str">
        <f>_xlfn.XLOOKUP(Prodeje[[#This Row],[Prodejce]],Obchodnici[Kód prodejce],Obchodnici[Region])</f>
        <v>Severní Čechy</v>
      </c>
    </row>
    <row r="138" spans="2:8" hidden="1" x14ac:dyDescent="0.25">
      <c r="B138" s="1">
        <v>45912</v>
      </c>
      <c r="C138" t="s">
        <v>190</v>
      </c>
      <c r="D138" t="s">
        <v>80</v>
      </c>
      <c r="E138" t="s">
        <v>18</v>
      </c>
      <c r="F138">
        <v>1</v>
      </c>
      <c r="G138" t="str">
        <f>_xlfn.XLOOKUP(Prodeje[[#This Row],[Prodejce]],Obchodnici[Kód prodejce],Obchodnici[Jméno])</f>
        <v>Holý</v>
      </c>
      <c r="H138" t="str">
        <f>_xlfn.XLOOKUP(Prodeje[[#This Row],[Prodejce]],Obchodnici[Kód prodejce],Obchodnici[Region])</f>
        <v>Jižní Čechy</v>
      </c>
    </row>
    <row r="139" spans="2:8" hidden="1" x14ac:dyDescent="0.25">
      <c r="B139" s="1">
        <v>45891</v>
      </c>
      <c r="C139" t="s">
        <v>217</v>
      </c>
      <c r="D139" t="s">
        <v>80</v>
      </c>
      <c r="E139" t="s">
        <v>21</v>
      </c>
      <c r="F139">
        <v>1</v>
      </c>
      <c r="G139" t="str">
        <f>_xlfn.XLOOKUP(Prodeje[[#This Row],[Prodejce]],Obchodnici[Kód prodejce],Obchodnici[Jméno])</f>
        <v>Nováček</v>
      </c>
      <c r="H139" t="str">
        <f>_xlfn.XLOOKUP(Prodeje[[#This Row],[Prodejce]],Obchodnici[Kód prodejce],Obchodnici[Region])</f>
        <v>Severní Čechy</v>
      </c>
    </row>
    <row r="140" spans="2:8" hidden="1" x14ac:dyDescent="0.25">
      <c r="B140" s="1">
        <v>45852</v>
      </c>
      <c r="C140" t="s">
        <v>218</v>
      </c>
      <c r="D140" t="s">
        <v>80</v>
      </c>
      <c r="E140" s="6" t="s">
        <v>16</v>
      </c>
      <c r="F140">
        <v>1</v>
      </c>
      <c r="G140" t="str">
        <f>_xlfn.XLOOKUP(Prodeje[[#This Row],[Prodejce]],Obchodnici[Kód prodejce],Obchodnici[Jméno])</f>
        <v>Jarník</v>
      </c>
      <c r="H140" t="str">
        <f>_xlfn.XLOOKUP(Prodeje[[#This Row],[Prodejce]],Obchodnici[Kód prodejce],Obchodnici[Region])</f>
        <v>Praha</v>
      </c>
    </row>
    <row r="141" spans="2:8" hidden="1" x14ac:dyDescent="0.25">
      <c r="B141" s="1">
        <v>45922</v>
      </c>
      <c r="C141" t="s">
        <v>216</v>
      </c>
      <c r="D141" t="s">
        <v>80</v>
      </c>
      <c r="E141" t="s">
        <v>21</v>
      </c>
      <c r="F141">
        <v>1</v>
      </c>
      <c r="G141" t="str">
        <f>_xlfn.XLOOKUP(Prodeje[[#This Row],[Prodejce]],Obchodnici[Kód prodejce],Obchodnici[Jméno])</f>
        <v>Nováček</v>
      </c>
      <c r="H141" t="str">
        <f>_xlfn.XLOOKUP(Prodeje[[#This Row],[Prodejce]],Obchodnici[Kód prodejce],Obchodnici[Region])</f>
        <v>Severní Čechy</v>
      </c>
    </row>
    <row r="142" spans="2:8" hidden="1" x14ac:dyDescent="0.25">
      <c r="B142" s="1">
        <v>45883</v>
      </c>
      <c r="C142" t="s">
        <v>220</v>
      </c>
      <c r="D142" t="s">
        <v>80</v>
      </c>
      <c r="E142" t="s">
        <v>16</v>
      </c>
      <c r="F142">
        <v>1</v>
      </c>
      <c r="G142" t="str">
        <f>_xlfn.XLOOKUP(Prodeje[[#This Row],[Prodejce]],Obchodnici[Kód prodejce],Obchodnici[Jméno])</f>
        <v>Jarník</v>
      </c>
      <c r="H142" t="str">
        <f>_xlfn.XLOOKUP(Prodeje[[#This Row],[Prodejce]],Obchodnici[Kód prodejce],Obchodnici[Region])</f>
        <v>Praha</v>
      </c>
    </row>
    <row r="143" spans="2:8" hidden="1" x14ac:dyDescent="0.25">
      <c r="B143" s="1">
        <v>45877</v>
      </c>
      <c r="C143" t="s">
        <v>221</v>
      </c>
      <c r="D143" t="s">
        <v>80</v>
      </c>
      <c r="E143" t="s">
        <v>22</v>
      </c>
      <c r="F143">
        <v>1</v>
      </c>
      <c r="G143" t="str">
        <f>_xlfn.XLOOKUP(Prodeje[[#This Row],[Prodejce]],Obchodnici[Kód prodejce],Obchodnici[Jméno])</f>
        <v>Brumbla</v>
      </c>
      <c r="H143" t="str">
        <f>_xlfn.XLOOKUP(Prodeje[[#This Row],[Prodejce]],Obchodnici[Kód prodejce],Obchodnici[Region])</f>
        <v>Severní Čechy</v>
      </c>
    </row>
    <row r="144" spans="2:8" hidden="1" x14ac:dyDescent="0.25">
      <c r="B144" s="1">
        <v>45846</v>
      </c>
      <c r="C144" t="s">
        <v>222</v>
      </c>
      <c r="D144" t="s">
        <v>82</v>
      </c>
      <c r="E144" t="s">
        <v>22</v>
      </c>
      <c r="F144">
        <v>1</v>
      </c>
      <c r="G144" t="str">
        <f>_xlfn.XLOOKUP(Prodeje[[#This Row],[Prodejce]],Obchodnici[Kód prodejce],Obchodnici[Jméno])</f>
        <v>Brumbla</v>
      </c>
      <c r="H144" t="str">
        <f>_xlfn.XLOOKUP(Prodeje[[#This Row],[Prodejce]],Obchodnici[Kód prodejce],Obchodnici[Region])</f>
        <v>Severní Čechy</v>
      </c>
    </row>
    <row r="145" spans="2:8" hidden="1" x14ac:dyDescent="0.25">
      <c r="B145" s="1">
        <v>45850</v>
      </c>
      <c r="C145" t="s">
        <v>223</v>
      </c>
      <c r="D145" t="s">
        <v>80</v>
      </c>
      <c r="E145" t="s">
        <v>23</v>
      </c>
      <c r="F145">
        <v>1</v>
      </c>
      <c r="G145" t="str">
        <f>_xlfn.XLOOKUP(Prodeje[[#This Row],[Prodejce]],Obchodnici[Kód prodejce],Obchodnici[Jméno])</f>
        <v>Jemný</v>
      </c>
      <c r="H145" t="str">
        <f>_xlfn.XLOOKUP(Prodeje[[#This Row],[Prodejce]],Obchodnici[Kód prodejce],Obchodnici[Region])</f>
        <v>Praha</v>
      </c>
    </row>
    <row r="146" spans="2:8" hidden="1" x14ac:dyDescent="0.25">
      <c r="B146" s="1">
        <v>45881</v>
      </c>
      <c r="C146" t="s">
        <v>224</v>
      </c>
      <c r="D146" t="s">
        <v>80</v>
      </c>
      <c r="E146" t="s">
        <v>23</v>
      </c>
      <c r="F146">
        <v>1</v>
      </c>
      <c r="G146" t="str">
        <f>_xlfn.XLOOKUP(Prodeje[[#This Row],[Prodejce]],Obchodnici[Kód prodejce],Obchodnici[Jméno])</f>
        <v>Jemný</v>
      </c>
      <c r="H146" t="str">
        <f>_xlfn.XLOOKUP(Prodeje[[#This Row],[Prodejce]],Obchodnici[Kód prodejce],Obchodnici[Region])</f>
        <v>Praha</v>
      </c>
    </row>
    <row r="147" spans="2:8" hidden="1" x14ac:dyDescent="0.25">
      <c r="B147" s="1">
        <v>45850</v>
      </c>
      <c r="C147" t="s">
        <v>225</v>
      </c>
      <c r="D147" t="s">
        <v>80</v>
      </c>
      <c r="E147" t="s">
        <v>23</v>
      </c>
      <c r="F147">
        <v>1</v>
      </c>
      <c r="G147" t="str">
        <f>_xlfn.XLOOKUP(Prodeje[[#This Row],[Prodejce]],Obchodnici[Kód prodejce],Obchodnici[Jméno])</f>
        <v>Jemný</v>
      </c>
      <c r="H147" t="str">
        <f>_xlfn.XLOOKUP(Prodeje[[#This Row],[Prodejce]],Obchodnici[Kód prodejce],Obchodnici[Region])</f>
        <v>Praha</v>
      </c>
    </row>
    <row r="148" spans="2:8" hidden="1" x14ac:dyDescent="0.25">
      <c r="B148" s="1">
        <v>45855</v>
      </c>
      <c r="C148" t="s">
        <v>226</v>
      </c>
      <c r="D148" t="s">
        <v>80</v>
      </c>
      <c r="E148" t="s">
        <v>22</v>
      </c>
      <c r="F148">
        <v>1</v>
      </c>
      <c r="G148" t="str">
        <f>_xlfn.XLOOKUP(Prodeje[[#This Row],[Prodejce]],Obchodnici[Kód prodejce],Obchodnici[Jméno])</f>
        <v>Brumbla</v>
      </c>
      <c r="H148" t="str">
        <f>_xlfn.XLOOKUP(Prodeje[[#This Row],[Prodejce]],Obchodnici[Kód prodejce],Obchodnici[Region])</f>
        <v>Severní Čechy</v>
      </c>
    </row>
    <row r="149" spans="2:8" hidden="1" x14ac:dyDescent="0.25">
      <c r="B149" s="1">
        <v>45914</v>
      </c>
      <c r="C149" t="s">
        <v>219</v>
      </c>
      <c r="D149" t="s">
        <v>80</v>
      </c>
      <c r="E149" t="s">
        <v>16</v>
      </c>
      <c r="F149">
        <v>1</v>
      </c>
      <c r="G149" t="str">
        <f>_xlfn.XLOOKUP(Prodeje[[#This Row],[Prodejce]],Obchodnici[Kód prodejce],Obchodnici[Jméno])</f>
        <v>Jarník</v>
      </c>
      <c r="H149" t="str">
        <f>_xlfn.XLOOKUP(Prodeje[[#This Row],[Prodejce]],Obchodnici[Kód prodejce],Obchodnici[Region])</f>
        <v>Praha</v>
      </c>
    </row>
    <row r="150" spans="2:8" hidden="1" x14ac:dyDescent="0.25">
      <c r="B150" s="1">
        <v>45886</v>
      </c>
      <c r="C150" t="s">
        <v>228</v>
      </c>
      <c r="D150" t="s">
        <v>80</v>
      </c>
      <c r="E150" t="s">
        <v>22</v>
      </c>
      <c r="F150">
        <v>1</v>
      </c>
      <c r="G150" t="str">
        <f>_xlfn.XLOOKUP(Prodeje[[#This Row],[Prodejce]],Obchodnici[Kód prodejce],Obchodnici[Jméno])</f>
        <v>Brumbla</v>
      </c>
      <c r="H150" t="str">
        <f>_xlfn.XLOOKUP(Prodeje[[#This Row],[Prodejce]],Obchodnici[Kód prodejce],Obchodnici[Region])</f>
        <v>Severní Čechy</v>
      </c>
    </row>
    <row r="151" spans="2:8" hidden="1" x14ac:dyDescent="0.25">
      <c r="B151" s="1">
        <v>45860</v>
      </c>
      <c r="C151" t="s">
        <v>229</v>
      </c>
      <c r="D151" t="s">
        <v>80</v>
      </c>
      <c r="E151" t="s">
        <v>23</v>
      </c>
      <c r="F151">
        <v>1</v>
      </c>
      <c r="G151" t="str">
        <f>_xlfn.XLOOKUP(Prodeje[[#This Row],[Prodejce]],Obchodnici[Kód prodejce],Obchodnici[Jméno])</f>
        <v>Jemný</v>
      </c>
      <c r="H151" t="str">
        <f>_xlfn.XLOOKUP(Prodeje[[#This Row],[Prodejce]],Obchodnici[Kód prodejce],Obchodnici[Region])</f>
        <v>Praha</v>
      </c>
    </row>
    <row r="152" spans="2:8" x14ac:dyDescent="0.25">
      <c r="B152" s="1">
        <v>45922</v>
      </c>
      <c r="C152" t="s">
        <v>230</v>
      </c>
      <c r="D152" t="s">
        <v>81</v>
      </c>
      <c r="E152" t="s">
        <v>23</v>
      </c>
      <c r="F152">
        <v>1</v>
      </c>
      <c r="G152" t="str">
        <f>_xlfn.XLOOKUP(Prodeje[[#This Row],[Prodejce]],Obchodnici[Kód prodejce],Obchodnici[Jméno])</f>
        <v>Jemný</v>
      </c>
      <c r="H152" t="str">
        <f>_xlfn.XLOOKUP(Prodeje[[#This Row],[Prodejce]],Obchodnici[Kód prodejce],Obchodnici[Region])</f>
        <v>Praha</v>
      </c>
    </row>
    <row r="153" spans="2:8" hidden="1" x14ac:dyDescent="0.25">
      <c r="B153" s="1">
        <v>45891</v>
      </c>
      <c r="C153" t="s">
        <v>231</v>
      </c>
      <c r="D153" t="s">
        <v>80</v>
      </c>
      <c r="E153" t="s">
        <v>23</v>
      </c>
      <c r="F153">
        <v>1</v>
      </c>
      <c r="G153" t="str">
        <f>_xlfn.XLOOKUP(Prodeje[[#This Row],[Prodejce]],Obchodnici[Kód prodejce],Obchodnici[Jméno])</f>
        <v>Jemný</v>
      </c>
      <c r="H153" t="str">
        <f>_xlfn.XLOOKUP(Prodeje[[#This Row],[Prodejce]],Obchodnici[Kód prodejce],Obchodnici[Region])</f>
        <v>Praha</v>
      </c>
    </row>
    <row r="154" spans="2:8" hidden="1" x14ac:dyDescent="0.25">
      <c r="B154" s="1">
        <v>45864</v>
      </c>
      <c r="C154" t="s">
        <v>232</v>
      </c>
      <c r="D154" t="s">
        <v>80</v>
      </c>
      <c r="E154" t="s">
        <v>23</v>
      </c>
      <c r="F154">
        <v>1</v>
      </c>
      <c r="G154" t="str">
        <f>_xlfn.XLOOKUP(Prodeje[[#This Row],[Prodejce]],Obchodnici[Kód prodejce],Obchodnici[Jméno])</f>
        <v>Jemný</v>
      </c>
      <c r="H154" t="str">
        <f>_xlfn.XLOOKUP(Prodeje[[#This Row],[Prodejce]],Obchodnici[Kód prodejce],Obchodnici[Region])</f>
        <v>Praha</v>
      </c>
    </row>
    <row r="155" spans="2:8" hidden="1" x14ac:dyDescent="0.25">
      <c r="B155" s="1">
        <v>45895</v>
      </c>
      <c r="C155" t="s">
        <v>233</v>
      </c>
      <c r="D155" t="s">
        <v>80</v>
      </c>
      <c r="E155" t="s">
        <v>23</v>
      </c>
      <c r="F155">
        <v>1</v>
      </c>
      <c r="G155" t="str">
        <f>_xlfn.XLOOKUP(Prodeje[[#This Row],[Prodejce]],Obchodnici[Kód prodejce],Obchodnici[Jméno])</f>
        <v>Jemný</v>
      </c>
      <c r="H155" t="str">
        <f>_xlfn.XLOOKUP(Prodeje[[#This Row],[Prodejce]],Obchodnici[Kód prodejce],Obchodnici[Region])</f>
        <v>Praha</v>
      </c>
    </row>
    <row r="156" spans="2:8" hidden="1" x14ac:dyDescent="0.25">
      <c r="B156" s="1">
        <v>45917</v>
      </c>
      <c r="C156" t="s">
        <v>227</v>
      </c>
      <c r="D156" t="s">
        <v>80</v>
      </c>
      <c r="E156" s="6" t="s">
        <v>22</v>
      </c>
      <c r="F156">
        <v>1</v>
      </c>
      <c r="G156" t="str">
        <f>_xlfn.XLOOKUP(Prodeje[[#This Row],[Prodejce]],Obchodnici[Kód prodejce],Obchodnici[Jméno])</f>
        <v>Brumbla</v>
      </c>
      <c r="H156" t="str">
        <f>_xlfn.XLOOKUP(Prodeje[[#This Row],[Prodejce]],Obchodnici[Kód prodejce],Obchodnici[Region])</f>
        <v>Severní Čechy</v>
      </c>
    </row>
    <row r="157" spans="2:8" hidden="1" x14ac:dyDescent="0.25">
      <c r="B157" s="1">
        <v>45921</v>
      </c>
      <c r="C157" t="s">
        <v>234</v>
      </c>
      <c r="D157" t="s">
        <v>80</v>
      </c>
      <c r="E157" t="s">
        <v>11</v>
      </c>
      <c r="F157">
        <v>1</v>
      </c>
      <c r="G157" t="str">
        <f>_xlfn.XLOOKUP(Prodeje[[#This Row],[Prodejce]],Obchodnici[Kód prodejce],Obchodnici[Jméno])</f>
        <v>Koutník</v>
      </c>
      <c r="H157" t="str">
        <f>_xlfn.XLOOKUP(Prodeje[[#This Row],[Prodejce]],Obchodnici[Kód prodejce],Obchodnici[Region])</f>
        <v>Východní Čechy</v>
      </c>
    </row>
    <row r="158" spans="2:8" x14ac:dyDescent="0.25">
      <c r="B158" s="1">
        <v>45930</v>
      </c>
      <c r="C158" t="s">
        <v>235</v>
      </c>
      <c r="D158" t="s">
        <v>81</v>
      </c>
      <c r="E158" t="s">
        <v>24</v>
      </c>
      <c r="F158">
        <v>1</v>
      </c>
      <c r="G158" t="str">
        <f>_xlfn.XLOOKUP(Prodeje[[#This Row],[Prodejce]],Obchodnici[Kód prodejce],Obchodnici[Jméno])</f>
        <v>Vonková</v>
      </c>
      <c r="H158" t="str">
        <f>_xlfn.XLOOKUP(Prodeje[[#This Row],[Prodejce]],Obchodnici[Kód prodejce],Obchodnici[Region])</f>
        <v>Praha</v>
      </c>
    </row>
    <row r="159" spans="2:8" hidden="1" x14ac:dyDescent="0.25">
      <c r="B159" s="1">
        <v>45871</v>
      </c>
      <c r="C159" t="s">
        <v>236</v>
      </c>
      <c r="D159" t="s">
        <v>80</v>
      </c>
      <c r="E159" s="6" t="s">
        <v>11</v>
      </c>
      <c r="F159">
        <v>1</v>
      </c>
      <c r="G159" t="str">
        <f>_xlfn.XLOOKUP(Prodeje[[#This Row],[Prodejce]],Obchodnici[Kód prodejce],Obchodnici[Jméno])</f>
        <v>Koutník</v>
      </c>
      <c r="H159" t="str">
        <f>_xlfn.XLOOKUP(Prodeje[[#This Row],[Prodejce]],Obchodnici[Kód prodejce],Obchodnici[Region])</f>
        <v>Východní Čechy</v>
      </c>
    </row>
    <row r="160" spans="2:8" hidden="1" x14ac:dyDescent="0.25">
      <c r="B160" s="1">
        <v>45902</v>
      </c>
      <c r="C160" t="s">
        <v>237</v>
      </c>
      <c r="D160" t="s">
        <v>80</v>
      </c>
      <c r="E160" t="s">
        <v>22</v>
      </c>
      <c r="F160">
        <v>1</v>
      </c>
      <c r="G160" t="str">
        <f>_xlfn.XLOOKUP(Prodeje[[#This Row],[Prodejce]],Obchodnici[Kód prodejce],Obchodnici[Jméno])</f>
        <v>Brumbla</v>
      </c>
      <c r="H160" t="str">
        <f>_xlfn.XLOOKUP(Prodeje[[#This Row],[Prodejce]],Obchodnici[Kód prodejce],Obchodnici[Region])</f>
        <v>Severní Čechy</v>
      </c>
    </row>
    <row r="161" spans="2:8" hidden="1" x14ac:dyDescent="0.25">
      <c r="B161" s="1">
        <v>45903</v>
      </c>
      <c r="C161" t="s">
        <v>238</v>
      </c>
      <c r="D161" t="s">
        <v>80</v>
      </c>
      <c r="E161" t="s">
        <v>21</v>
      </c>
      <c r="F161">
        <v>1</v>
      </c>
      <c r="G161" t="str">
        <f>_xlfn.XLOOKUP(Prodeje[[#This Row],[Prodejce]],Obchodnici[Kód prodejce],Obchodnici[Jméno])</f>
        <v>Nováček</v>
      </c>
      <c r="H161" t="str">
        <f>_xlfn.XLOOKUP(Prodeje[[#This Row],[Prodejce]],Obchodnici[Kód prodejce],Obchodnici[Region])</f>
        <v>Severní Čechy</v>
      </c>
    </row>
    <row r="162" spans="2:8" hidden="1" x14ac:dyDescent="0.25">
      <c r="B162" s="1">
        <v>45904</v>
      </c>
      <c r="C162" t="s">
        <v>239</v>
      </c>
      <c r="D162" t="s">
        <v>80</v>
      </c>
      <c r="E162" t="s">
        <v>15</v>
      </c>
      <c r="F162">
        <v>1</v>
      </c>
      <c r="G162" t="str">
        <f>_xlfn.XLOOKUP(Prodeje[[#This Row],[Prodejce]],Obchodnici[Kód prodejce],Obchodnici[Jméno])</f>
        <v>Nebohý</v>
      </c>
      <c r="H162" t="str">
        <f>_xlfn.XLOOKUP(Prodeje[[#This Row],[Prodejce]],Obchodnici[Kód prodejce],Obchodnici[Region])</f>
        <v>Praha</v>
      </c>
    </row>
    <row r="163" spans="2:8" hidden="1" x14ac:dyDescent="0.25">
      <c r="B163" s="1">
        <v>45842</v>
      </c>
      <c r="C163" t="s">
        <v>240</v>
      </c>
      <c r="D163" t="s">
        <v>80</v>
      </c>
      <c r="E163" s="6" t="s">
        <v>17</v>
      </c>
      <c r="F163">
        <v>1</v>
      </c>
      <c r="G163" t="str">
        <f>_xlfn.XLOOKUP(Prodeje[[#This Row],[Prodejce]],Obchodnici[Kód prodejce],Obchodnici[Jméno])</f>
        <v>Kovaříček</v>
      </c>
      <c r="H163" t="str">
        <f>_xlfn.XLOOKUP(Prodeje[[#This Row],[Prodejce]],Obchodnici[Kód prodejce],Obchodnici[Region])</f>
        <v>Severní Čechy</v>
      </c>
    </row>
    <row r="164" spans="2:8" hidden="1" x14ac:dyDescent="0.25">
      <c r="B164" s="1">
        <v>45908</v>
      </c>
      <c r="C164" t="s">
        <v>241</v>
      </c>
      <c r="D164" t="s">
        <v>80</v>
      </c>
      <c r="E164" t="s">
        <v>25</v>
      </c>
      <c r="F164">
        <v>1</v>
      </c>
      <c r="G164" t="str">
        <f>_xlfn.XLOOKUP(Prodeje[[#This Row],[Prodejce]],Obchodnici[Kód prodejce],Obchodnici[Jméno])</f>
        <v>Kapřík</v>
      </c>
      <c r="H164" t="str">
        <f>_xlfn.XLOOKUP(Prodeje[[#This Row],[Prodejce]],Obchodnici[Kód prodejce],Obchodnici[Region])</f>
        <v>Západní Čechy</v>
      </c>
    </row>
    <row r="165" spans="2:8" hidden="1" x14ac:dyDescent="0.25">
      <c r="B165" s="1">
        <v>45850</v>
      </c>
      <c r="C165" t="s">
        <v>242</v>
      </c>
      <c r="D165" t="s">
        <v>80</v>
      </c>
      <c r="E165" t="s">
        <v>25</v>
      </c>
      <c r="F165">
        <v>1</v>
      </c>
      <c r="G165" t="str">
        <f>_xlfn.XLOOKUP(Prodeje[[#This Row],[Prodejce]],Obchodnici[Kód prodejce],Obchodnici[Jméno])</f>
        <v>Kapřík</v>
      </c>
      <c r="H165" t="str">
        <f>_xlfn.XLOOKUP(Prodeje[[#This Row],[Prodejce]],Obchodnici[Kód prodejce],Obchodnici[Region])</f>
        <v>Západní Čechy</v>
      </c>
    </row>
    <row r="166" spans="2:8" hidden="1" x14ac:dyDescent="0.25">
      <c r="B166" s="1">
        <v>45910</v>
      </c>
      <c r="C166" t="s">
        <v>243</v>
      </c>
      <c r="D166" t="s">
        <v>80</v>
      </c>
      <c r="E166" t="s">
        <v>15</v>
      </c>
      <c r="F166">
        <v>1</v>
      </c>
      <c r="G166" t="str">
        <f>_xlfn.XLOOKUP(Prodeje[[#This Row],[Prodejce]],Obchodnici[Kód prodejce],Obchodnici[Jméno])</f>
        <v>Nebohý</v>
      </c>
      <c r="H166" t="str">
        <f>_xlfn.XLOOKUP(Prodeje[[#This Row],[Prodejce]],Obchodnici[Kód prodejce],Obchodnici[Region])</f>
        <v>Praha</v>
      </c>
    </row>
    <row r="167" spans="2:8" hidden="1" x14ac:dyDescent="0.25">
      <c r="B167" s="1">
        <v>45917</v>
      </c>
      <c r="C167" t="s">
        <v>244</v>
      </c>
      <c r="D167" t="s">
        <v>80</v>
      </c>
      <c r="E167" t="s">
        <v>17</v>
      </c>
      <c r="F167">
        <v>1</v>
      </c>
      <c r="G167" t="str">
        <f>_xlfn.XLOOKUP(Prodeje[[#This Row],[Prodejce]],Obchodnici[Kód prodejce],Obchodnici[Jméno])</f>
        <v>Kovaříček</v>
      </c>
      <c r="H167" t="str">
        <f>_xlfn.XLOOKUP(Prodeje[[#This Row],[Prodejce]],Obchodnici[Kód prodejce],Obchodnici[Region])</f>
        <v>Severní Čechy</v>
      </c>
    </row>
    <row r="168" spans="2:8" hidden="1" x14ac:dyDescent="0.25">
      <c r="B168" s="1">
        <v>45917</v>
      </c>
      <c r="C168" t="s">
        <v>245</v>
      </c>
      <c r="D168" t="s">
        <v>80</v>
      </c>
      <c r="E168" t="s">
        <v>26</v>
      </c>
      <c r="F168">
        <v>1</v>
      </c>
      <c r="G168" t="str">
        <f>_xlfn.XLOOKUP(Prodeje[[#This Row],[Prodejce]],Obchodnici[Kód prodejce],Obchodnici[Jméno])</f>
        <v>Adamek</v>
      </c>
      <c r="H168" t="str">
        <f>_xlfn.XLOOKUP(Prodeje[[#This Row],[Prodejce]],Obchodnici[Kód prodejce],Obchodnici[Region])</f>
        <v>Jižní Čechy</v>
      </c>
    </row>
    <row r="169" spans="2:8" hidden="1" x14ac:dyDescent="0.25">
      <c r="B169" s="1">
        <v>45912</v>
      </c>
      <c r="C169" t="s">
        <v>246</v>
      </c>
      <c r="D169" t="s">
        <v>80</v>
      </c>
      <c r="E169" t="s">
        <v>15</v>
      </c>
      <c r="F169">
        <v>1</v>
      </c>
      <c r="G169" t="str">
        <f>_xlfn.XLOOKUP(Prodeje[[#This Row],[Prodejce]],Obchodnici[Kód prodejce],Obchodnici[Jméno])</f>
        <v>Nebohý</v>
      </c>
      <c r="H169" t="str">
        <f>_xlfn.XLOOKUP(Prodeje[[#This Row],[Prodejce]],Obchodnici[Kód prodejce],Obchodnici[Region])</f>
        <v>Praha</v>
      </c>
    </row>
    <row r="170" spans="2:8" hidden="1" x14ac:dyDescent="0.25">
      <c r="B170" s="1">
        <v>45910</v>
      </c>
      <c r="C170" t="s">
        <v>247</v>
      </c>
      <c r="D170" t="s">
        <v>80</v>
      </c>
      <c r="E170" t="s">
        <v>26</v>
      </c>
      <c r="F170">
        <v>1</v>
      </c>
      <c r="G170" t="str">
        <f>_xlfn.XLOOKUP(Prodeje[[#This Row],[Prodejce]],Obchodnici[Kód prodejce],Obchodnici[Jméno])</f>
        <v>Adamek</v>
      </c>
      <c r="H170" t="str">
        <f>_xlfn.XLOOKUP(Prodeje[[#This Row],[Prodejce]],Obchodnici[Kód prodejce],Obchodnici[Region])</f>
        <v>Jižní Čechy</v>
      </c>
    </row>
    <row r="171" spans="2:8" hidden="1" x14ac:dyDescent="0.25">
      <c r="B171" s="1">
        <v>45917</v>
      </c>
      <c r="C171" t="s">
        <v>248</v>
      </c>
      <c r="D171" t="s">
        <v>80</v>
      </c>
      <c r="E171" t="s">
        <v>17</v>
      </c>
      <c r="F171">
        <v>1</v>
      </c>
      <c r="G171" t="str">
        <f>_xlfn.XLOOKUP(Prodeje[[#This Row],[Prodejce]],Obchodnici[Kód prodejce],Obchodnici[Jméno])</f>
        <v>Kovaříček</v>
      </c>
      <c r="H171" t="str">
        <f>_xlfn.XLOOKUP(Prodeje[[#This Row],[Prodejce]],Obchodnici[Kód prodejce],Obchodnici[Region])</f>
        <v>Severní Čechy</v>
      </c>
    </row>
    <row r="172" spans="2:8" hidden="1" x14ac:dyDescent="0.25">
      <c r="B172" s="1">
        <v>45904</v>
      </c>
      <c r="C172" t="s">
        <v>249</v>
      </c>
      <c r="D172" t="s">
        <v>80</v>
      </c>
      <c r="E172" t="s">
        <v>24</v>
      </c>
      <c r="F172">
        <v>1</v>
      </c>
      <c r="G172" t="str">
        <f>_xlfn.XLOOKUP(Prodeje[[#This Row],[Prodejce]],Obchodnici[Kód prodejce],Obchodnici[Jméno])</f>
        <v>Vonková</v>
      </c>
      <c r="H172" t="str">
        <f>_xlfn.XLOOKUP(Prodeje[[#This Row],[Prodejce]],Obchodnici[Kód prodejce],Obchodnici[Region])</f>
        <v>Praha</v>
      </c>
    </row>
    <row r="173" spans="2:8" hidden="1" x14ac:dyDescent="0.25">
      <c r="B173" s="1">
        <v>45906</v>
      </c>
      <c r="C173" t="s">
        <v>250</v>
      </c>
      <c r="D173" t="s">
        <v>80</v>
      </c>
      <c r="E173" t="s">
        <v>17</v>
      </c>
      <c r="F173">
        <v>1</v>
      </c>
      <c r="G173" t="str">
        <f>_xlfn.XLOOKUP(Prodeje[[#This Row],[Prodejce]],Obchodnici[Kód prodejce],Obchodnici[Jméno])</f>
        <v>Kovaříček</v>
      </c>
      <c r="H173" t="str">
        <f>_xlfn.XLOOKUP(Prodeje[[#This Row],[Prodejce]],Obchodnici[Kód prodejce],Obchodnici[Region])</f>
        <v>Severní Čechy</v>
      </c>
    </row>
    <row r="174" spans="2:8" hidden="1" x14ac:dyDescent="0.25">
      <c r="B174" s="1">
        <v>45912</v>
      </c>
      <c r="C174" t="s">
        <v>251</v>
      </c>
      <c r="D174" t="s">
        <v>80</v>
      </c>
      <c r="E174" t="s">
        <v>24</v>
      </c>
      <c r="F174">
        <v>1</v>
      </c>
      <c r="G174" t="str">
        <f>_xlfn.XLOOKUP(Prodeje[[#This Row],[Prodejce]],Obchodnici[Kód prodejce],Obchodnici[Jméno])</f>
        <v>Vonková</v>
      </c>
      <c r="H174" t="str">
        <f>_xlfn.XLOOKUP(Prodeje[[#This Row],[Prodejce]],Obchodnici[Kód prodejce],Obchodnici[Region])</f>
        <v>Praha</v>
      </c>
    </row>
    <row r="175" spans="2:8" hidden="1" x14ac:dyDescent="0.25">
      <c r="B175" s="1">
        <v>45851</v>
      </c>
      <c r="C175" t="s">
        <v>252</v>
      </c>
      <c r="D175" t="s">
        <v>80</v>
      </c>
      <c r="E175" t="s">
        <v>17</v>
      </c>
      <c r="F175">
        <v>1</v>
      </c>
      <c r="G175" t="str">
        <f>_xlfn.XLOOKUP(Prodeje[[#This Row],[Prodejce]],Obchodnici[Kód prodejce],Obchodnici[Jméno])</f>
        <v>Kovaříček</v>
      </c>
      <c r="H175" t="str">
        <f>_xlfn.XLOOKUP(Prodeje[[#This Row],[Prodejce]],Obchodnici[Kód prodejce],Obchodnici[Region])</f>
        <v>Severní Čechy</v>
      </c>
    </row>
    <row r="176" spans="2:8" hidden="1" x14ac:dyDescent="0.25">
      <c r="B176" s="1">
        <v>45914</v>
      </c>
      <c r="C176" t="s">
        <v>253</v>
      </c>
      <c r="D176" t="s">
        <v>80</v>
      </c>
      <c r="E176" t="s">
        <v>24</v>
      </c>
      <c r="F176">
        <v>1</v>
      </c>
      <c r="G176" t="str">
        <f>_xlfn.XLOOKUP(Prodeje[[#This Row],[Prodejce]],Obchodnici[Kód prodejce],Obchodnici[Jméno])</f>
        <v>Vonková</v>
      </c>
      <c r="H176" t="str">
        <f>_xlfn.XLOOKUP(Prodeje[[#This Row],[Prodejce]],Obchodnici[Kód prodejce],Obchodnici[Region])</f>
        <v>Praha</v>
      </c>
    </row>
    <row r="177" spans="2:8" x14ac:dyDescent="0.25">
      <c r="B177" s="1">
        <v>45917</v>
      </c>
      <c r="C177" t="s">
        <v>254</v>
      </c>
      <c r="D177" t="s">
        <v>81</v>
      </c>
      <c r="E177" t="s">
        <v>17</v>
      </c>
      <c r="F177">
        <v>2</v>
      </c>
      <c r="G177" t="str">
        <f>_xlfn.XLOOKUP(Prodeje[[#This Row],[Prodejce]],Obchodnici[Kód prodejce],Obchodnici[Jméno])</f>
        <v>Kovaříček</v>
      </c>
      <c r="H177" t="str">
        <f>_xlfn.XLOOKUP(Prodeje[[#This Row],[Prodejce]],Obchodnici[Kód prodejce],Obchodnici[Region])</f>
        <v>Severní Čechy</v>
      </c>
    </row>
    <row r="178" spans="2:8" hidden="1" x14ac:dyDescent="0.25">
      <c r="B178" s="1">
        <v>45856</v>
      </c>
      <c r="C178" t="s">
        <v>255</v>
      </c>
      <c r="D178" t="s">
        <v>80</v>
      </c>
      <c r="E178" t="s">
        <v>25</v>
      </c>
      <c r="F178">
        <v>1</v>
      </c>
      <c r="G178" t="str">
        <f>_xlfn.XLOOKUP(Prodeje[[#This Row],[Prodejce]],Obchodnici[Kód prodejce],Obchodnici[Jméno])</f>
        <v>Kapřík</v>
      </c>
      <c r="H178" t="str">
        <f>_xlfn.XLOOKUP(Prodeje[[#This Row],[Prodejce]],Obchodnici[Kód prodejce],Obchodnici[Region])</f>
        <v>Západní Čechy</v>
      </c>
    </row>
    <row r="179" spans="2:8" hidden="1" x14ac:dyDescent="0.25">
      <c r="B179" s="1">
        <v>45904</v>
      </c>
      <c r="C179" t="s">
        <v>256</v>
      </c>
      <c r="D179" t="s">
        <v>80</v>
      </c>
      <c r="E179" t="s">
        <v>15</v>
      </c>
      <c r="F179">
        <v>1</v>
      </c>
      <c r="G179" t="str">
        <f>_xlfn.XLOOKUP(Prodeje[[#This Row],[Prodejce]],Obchodnici[Kód prodejce],Obchodnici[Jméno])</f>
        <v>Nebohý</v>
      </c>
      <c r="H179" t="str">
        <f>_xlfn.XLOOKUP(Prodeje[[#This Row],[Prodejce]],Obchodnici[Kód prodejce],Obchodnici[Region])</f>
        <v>Praha</v>
      </c>
    </row>
    <row r="180" spans="2:8" hidden="1" x14ac:dyDescent="0.25">
      <c r="B180" s="1">
        <v>45917</v>
      </c>
      <c r="C180" t="s">
        <v>257</v>
      </c>
      <c r="D180" t="s">
        <v>80</v>
      </c>
      <c r="E180" t="s">
        <v>26</v>
      </c>
      <c r="F180">
        <v>1</v>
      </c>
      <c r="G180" t="str">
        <f>_xlfn.XLOOKUP(Prodeje[[#This Row],[Prodejce]],Obchodnici[Kód prodejce],Obchodnici[Jméno])</f>
        <v>Adamek</v>
      </c>
      <c r="H180" t="str">
        <f>_xlfn.XLOOKUP(Prodeje[[#This Row],[Prodejce]],Obchodnici[Kód prodejce],Obchodnici[Region])</f>
        <v>Jižní Čechy</v>
      </c>
    </row>
    <row r="181" spans="2:8" hidden="1" x14ac:dyDescent="0.25">
      <c r="B181" s="1">
        <v>45919</v>
      </c>
      <c r="C181" t="s">
        <v>258</v>
      </c>
      <c r="D181" t="s">
        <v>80</v>
      </c>
      <c r="E181" t="s">
        <v>11</v>
      </c>
      <c r="F181">
        <v>1</v>
      </c>
      <c r="G181" t="str">
        <f>_xlfn.XLOOKUP(Prodeje[[#This Row],[Prodejce]],Obchodnici[Kód prodejce],Obchodnici[Jméno])</f>
        <v>Koutník</v>
      </c>
      <c r="H181" t="str">
        <f>_xlfn.XLOOKUP(Prodeje[[#This Row],[Prodejce]],Obchodnici[Kód prodejce],Obchodnici[Region])</f>
        <v>Východní Čechy</v>
      </c>
    </row>
    <row r="182" spans="2:8" hidden="1" x14ac:dyDescent="0.25">
      <c r="B182" s="1">
        <v>45915</v>
      </c>
      <c r="C182" t="s">
        <v>259</v>
      </c>
      <c r="D182" t="s">
        <v>80</v>
      </c>
      <c r="E182" t="s">
        <v>25</v>
      </c>
      <c r="F182">
        <v>1</v>
      </c>
      <c r="G182" t="str">
        <f>_xlfn.XLOOKUP(Prodeje[[#This Row],[Prodejce]],Obchodnici[Kód prodejce],Obchodnici[Jméno])</f>
        <v>Kapřík</v>
      </c>
      <c r="H182" t="str">
        <f>_xlfn.XLOOKUP(Prodeje[[#This Row],[Prodejce]],Obchodnici[Kód prodejce],Obchodnici[Region])</f>
        <v>Západní Čechy</v>
      </c>
    </row>
    <row r="183" spans="2:8" hidden="1" x14ac:dyDescent="0.25">
      <c r="B183" s="1">
        <v>45855</v>
      </c>
      <c r="C183" t="s">
        <v>260</v>
      </c>
      <c r="D183" t="s">
        <v>80</v>
      </c>
      <c r="E183" t="s">
        <v>17</v>
      </c>
      <c r="F183">
        <v>1</v>
      </c>
      <c r="G183" t="str">
        <f>_xlfn.XLOOKUP(Prodeje[[#This Row],[Prodejce]],Obchodnici[Kód prodejce],Obchodnici[Jméno])</f>
        <v>Kovaříček</v>
      </c>
      <c r="H183" t="str">
        <f>_xlfn.XLOOKUP(Prodeje[[#This Row],[Prodejce]],Obchodnici[Kód prodejce],Obchodnici[Region])</f>
        <v>Severní Čechy</v>
      </c>
    </row>
    <row r="184" spans="2:8" hidden="1" x14ac:dyDescent="0.25">
      <c r="B184" s="1">
        <v>45912</v>
      </c>
      <c r="C184" t="s">
        <v>261</v>
      </c>
      <c r="D184" t="s">
        <v>80</v>
      </c>
      <c r="E184" t="s">
        <v>22</v>
      </c>
      <c r="F184">
        <v>1</v>
      </c>
      <c r="G184" t="str">
        <f>_xlfn.XLOOKUP(Prodeje[[#This Row],[Prodejce]],Obchodnici[Kód prodejce],Obchodnici[Jméno])</f>
        <v>Brumbla</v>
      </c>
      <c r="H184" t="str">
        <f>_xlfn.XLOOKUP(Prodeje[[#This Row],[Prodejce]],Obchodnici[Kód prodejce],Obchodnici[Region])</f>
        <v>Severní Čechy</v>
      </c>
    </row>
    <row r="185" spans="2:8" hidden="1" x14ac:dyDescent="0.25">
      <c r="B185" s="1">
        <v>45912</v>
      </c>
      <c r="C185" t="s">
        <v>262</v>
      </c>
      <c r="D185" t="s">
        <v>80</v>
      </c>
      <c r="E185" t="s">
        <v>25</v>
      </c>
      <c r="F185">
        <v>1</v>
      </c>
      <c r="G185" t="str">
        <f>_xlfn.XLOOKUP(Prodeje[[#This Row],[Prodejce]],Obchodnici[Kód prodejce],Obchodnici[Jméno])</f>
        <v>Kapřík</v>
      </c>
      <c r="H185" t="str">
        <f>_xlfn.XLOOKUP(Prodeje[[#This Row],[Prodejce]],Obchodnici[Kód prodejce],Obchodnici[Region])</f>
        <v>Západní Čechy</v>
      </c>
    </row>
    <row r="186" spans="2:8" hidden="1" x14ac:dyDescent="0.25">
      <c r="B186" s="1">
        <v>45913</v>
      </c>
      <c r="C186" t="s">
        <v>263</v>
      </c>
      <c r="D186" t="s">
        <v>80</v>
      </c>
      <c r="E186" t="s">
        <v>17</v>
      </c>
      <c r="F186">
        <v>3</v>
      </c>
      <c r="G186" t="str">
        <f>_xlfn.XLOOKUP(Prodeje[[#This Row],[Prodejce]],Obchodnici[Kód prodejce],Obchodnici[Jméno])</f>
        <v>Kovaříček</v>
      </c>
      <c r="H186" t="str">
        <f>_xlfn.XLOOKUP(Prodeje[[#This Row],[Prodejce]],Obchodnici[Kód prodejce],Obchodnici[Region])</f>
        <v>Severní Čechy</v>
      </c>
    </row>
    <row r="187" spans="2:8" x14ac:dyDescent="0.25">
      <c r="B187" s="1">
        <v>45922</v>
      </c>
      <c r="C187" t="s">
        <v>264</v>
      </c>
      <c r="D187" t="s">
        <v>81</v>
      </c>
      <c r="E187" t="s">
        <v>19</v>
      </c>
      <c r="F187">
        <v>1</v>
      </c>
      <c r="G187" t="str">
        <f>_xlfn.XLOOKUP(Prodeje[[#This Row],[Prodejce]],Obchodnici[Kód prodejce],Obchodnici[Jméno])</f>
        <v>Havelka</v>
      </c>
      <c r="H187" t="str">
        <f>_xlfn.XLOOKUP(Prodeje[[#This Row],[Prodejce]],Obchodnici[Kód prodejce],Obchodnici[Region])</f>
        <v>Západní Čechy</v>
      </c>
    </row>
    <row r="188" spans="2:8" hidden="1" x14ac:dyDescent="0.25">
      <c r="B188" s="1">
        <v>45906</v>
      </c>
      <c r="C188" t="s">
        <v>265</v>
      </c>
      <c r="D188" t="s">
        <v>80</v>
      </c>
      <c r="E188" s="6" t="s">
        <v>16</v>
      </c>
      <c r="F188">
        <v>2</v>
      </c>
      <c r="G188" t="str">
        <f>_xlfn.XLOOKUP(Prodeje[[#This Row],[Prodejce]],Obchodnici[Kód prodejce],Obchodnici[Jméno])</f>
        <v>Jarník</v>
      </c>
      <c r="H188" t="str">
        <f>_xlfn.XLOOKUP(Prodeje[[#This Row],[Prodejce]],Obchodnici[Kód prodejce],Obchodnici[Region])</f>
        <v>Praha</v>
      </c>
    </row>
    <row r="189" spans="2:8" hidden="1" x14ac:dyDescent="0.25">
      <c r="B189" s="1">
        <v>45912</v>
      </c>
      <c r="C189" t="s">
        <v>266</v>
      </c>
      <c r="D189" t="s">
        <v>80</v>
      </c>
      <c r="E189" s="6" t="s">
        <v>9</v>
      </c>
      <c r="F189">
        <v>1</v>
      </c>
      <c r="G189" t="str">
        <f>_xlfn.XLOOKUP(Prodeje[[#This Row],[Prodejce]],Obchodnici[Kód prodejce],Obchodnici[Jméno])</f>
        <v>Bouše</v>
      </c>
      <c r="H189" t="str">
        <f>_xlfn.XLOOKUP(Prodeje[[#This Row],[Prodejce]],Obchodnici[Kód prodejce],Obchodnici[Region])</f>
        <v>Severní Čechy</v>
      </c>
    </row>
    <row r="190" spans="2:8" hidden="1" x14ac:dyDescent="0.25">
      <c r="B190" s="1">
        <v>45916</v>
      </c>
      <c r="C190" t="s">
        <v>267</v>
      </c>
      <c r="D190" t="s">
        <v>82</v>
      </c>
      <c r="E190" t="s">
        <v>15</v>
      </c>
      <c r="F190">
        <v>1</v>
      </c>
      <c r="G190" t="str">
        <f>_xlfn.XLOOKUP(Prodeje[[#This Row],[Prodejce]],Obchodnici[Kód prodejce],Obchodnici[Jméno])</f>
        <v>Nebohý</v>
      </c>
      <c r="H190" t="str">
        <f>_xlfn.XLOOKUP(Prodeje[[#This Row],[Prodejce]],Obchodnici[Kód prodejce],Obchodnici[Region])</f>
        <v>Praha</v>
      </c>
    </row>
    <row r="191" spans="2:8" hidden="1" x14ac:dyDescent="0.25">
      <c r="B191" s="1">
        <v>45917</v>
      </c>
      <c r="C191" t="s">
        <v>268</v>
      </c>
      <c r="D191" t="s">
        <v>80</v>
      </c>
      <c r="E191" s="6" t="s">
        <v>26</v>
      </c>
      <c r="F191">
        <v>1</v>
      </c>
      <c r="G191" t="str">
        <f>_xlfn.XLOOKUP(Prodeje[[#This Row],[Prodejce]],Obchodnici[Kód prodejce],Obchodnici[Jméno])</f>
        <v>Adamek</v>
      </c>
      <c r="H191" t="str">
        <f>_xlfn.XLOOKUP(Prodeje[[#This Row],[Prodejce]],Obchodnici[Kód prodejce],Obchodnici[Region])</f>
        <v>Jižní Čechy</v>
      </c>
    </row>
    <row r="192" spans="2:8" hidden="1" x14ac:dyDescent="0.25">
      <c r="B192" s="1">
        <v>45855</v>
      </c>
      <c r="C192" t="s">
        <v>269</v>
      </c>
      <c r="D192" t="s">
        <v>80</v>
      </c>
      <c r="E192" s="6" t="s">
        <v>17</v>
      </c>
      <c r="F192">
        <v>3</v>
      </c>
      <c r="G192" t="str">
        <f>_xlfn.XLOOKUP(Prodeje[[#This Row],[Prodejce]],Obchodnici[Kód prodejce],Obchodnici[Jméno])</f>
        <v>Kovaříček</v>
      </c>
      <c r="H192" t="str">
        <f>_xlfn.XLOOKUP(Prodeje[[#This Row],[Prodejce]],Obchodnici[Kód prodejce],Obchodnici[Region])</f>
        <v>Severní Čechy</v>
      </c>
    </row>
    <row r="193" spans="2:8" hidden="1" x14ac:dyDescent="0.25">
      <c r="B193" s="1">
        <v>45918</v>
      </c>
      <c r="C193" t="s">
        <v>270</v>
      </c>
      <c r="D193" t="s">
        <v>80</v>
      </c>
      <c r="E193" t="s">
        <v>16</v>
      </c>
      <c r="F193">
        <v>1</v>
      </c>
      <c r="G193" t="str">
        <f>_xlfn.XLOOKUP(Prodeje[[#This Row],[Prodejce]],Obchodnici[Kód prodejce],Obchodnici[Jméno])</f>
        <v>Jarník</v>
      </c>
      <c r="H193" t="str">
        <f>_xlfn.XLOOKUP(Prodeje[[#This Row],[Prodejce]],Obchodnici[Kód prodejce],Obchodnici[Region])</f>
        <v>Praha</v>
      </c>
    </row>
    <row r="194" spans="2:8" hidden="1" x14ac:dyDescent="0.25">
      <c r="B194" s="1">
        <v>45863</v>
      </c>
      <c r="C194" t="s">
        <v>271</v>
      </c>
      <c r="D194" t="s">
        <v>80</v>
      </c>
      <c r="E194" t="s">
        <v>9</v>
      </c>
      <c r="F194">
        <v>1</v>
      </c>
      <c r="G194" t="str">
        <f>_xlfn.XLOOKUP(Prodeje[[#This Row],[Prodejce]],Obchodnici[Kód prodejce],Obchodnici[Jméno])</f>
        <v>Bouše</v>
      </c>
      <c r="H194" t="str">
        <f>_xlfn.XLOOKUP(Prodeje[[#This Row],[Prodejce]],Obchodnici[Kód prodejce],Obchodnici[Region])</f>
        <v>Severní Čechy</v>
      </c>
    </row>
    <row r="195" spans="2:8" hidden="1" x14ac:dyDescent="0.25">
      <c r="B195" s="1">
        <v>45922</v>
      </c>
      <c r="C195" t="s">
        <v>272</v>
      </c>
      <c r="D195" t="s">
        <v>80</v>
      </c>
      <c r="E195" t="s">
        <v>11</v>
      </c>
      <c r="F195">
        <v>1</v>
      </c>
      <c r="G195" t="str">
        <f>_xlfn.XLOOKUP(Prodeje[[#This Row],[Prodejce]],Obchodnici[Kód prodejce],Obchodnici[Jméno])</f>
        <v>Koutník</v>
      </c>
      <c r="H195" t="str">
        <f>_xlfn.XLOOKUP(Prodeje[[#This Row],[Prodejce]],Obchodnici[Kód prodejce],Obchodnici[Region])</f>
        <v>Východní Čechy</v>
      </c>
    </row>
    <row r="196" spans="2:8" hidden="1" x14ac:dyDescent="0.25">
      <c r="B196" s="1">
        <v>45863</v>
      </c>
      <c r="C196" t="s">
        <v>273</v>
      </c>
      <c r="D196" t="s">
        <v>80</v>
      </c>
      <c r="E196" t="s">
        <v>22</v>
      </c>
      <c r="F196">
        <v>1</v>
      </c>
      <c r="G196" t="str">
        <f>_xlfn.XLOOKUP(Prodeje[[#This Row],[Prodejce]],Obchodnici[Kód prodejce],Obchodnici[Jméno])</f>
        <v>Brumbla</v>
      </c>
      <c r="H196" t="str">
        <f>_xlfn.XLOOKUP(Prodeje[[#This Row],[Prodejce]],Obchodnici[Kód prodejce],Obchodnici[Region])</f>
        <v>Severní Čechy</v>
      </c>
    </row>
    <row r="197" spans="2:8" hidden="1" x14ac:dyDescent="0.25">
      <c r="B197" s="1">
        <v>45919</v>
      </c>
      <c r="C197" t="s">
        <v>274</v>
      </c>
      <c r="D197" t="s">
        <v>80</v>
      </c>
      <c r="E197" t="s">
        <v>21</v>
      </c>
      <c r="F197">
        <v>1</v>
      </c>
      <c r="G197" t="str">
        <f>_xlfn.XLOOKUP(Prodeje[[#This Row],[Prodejce]],Obchodnici[Kód prodejce],Obchodnici[Jméno])</f>
        <v>Nováček</v>
      </c>
      <c r="H197" t="str">
        <f>_xlfn.XLOOKUP(Prodeje[[#This Row],[Prodejce]],Obchodnici[Kód prodejce],Obchodnici[Region])</f>
        <v>Severní Čechy</v>
      </c>
    </row>
    <row r="198" spans="2:8" hidden="1" x14ac:dyDescent="0.25">
      <c r="B198" s="1">
        <v>45929</v>
      </c>
      <c r="C198" t="s">
        <v>275</v>
      </c>
      <c r="D198" t="s">
        <v>80</v>
      </c>
      <c r="E198" t="s">
        <v>26</v>
      </c>
      <c r="F198">
        <v>1</v>
      </c>
      <c r="G198" t="str">
        <f>_xlfn.XLOOKUP(Prodeje[[#This Row],[Prodejce]],Obchodnici[Kód prodejce],Obchodnici[Jméno])</f>
        <v>Adamek</v>
      </c>
      <c r="H198" t="str">
        <f>_xlfn.XLOOKUP(Prodeje[[#This Row],[Prodejce]],Obchodnici[Kód prodejce],Obchodnici[Region])</f>
        <v>Jižní Čechy</v>
      </c>
    </row>
    <row r="199" spans="2:8" hidden="1" x14ac:dyDescent="0.25">
      <c r="B199" s="1">
        <v>45929</v>
      </c>
      <c r="C199" t="s">
        <v>276</v>
      </c>
      <c r="D199" t="s">
        <v>80</v>
      </c>
      <c r="E199" t="s">
        <v>9</v>
      </c>
      <c r="F199">
        <v>1</v>
      </c>
      <c r="G199" t="str">
        <f>_xlfn.XLOOKUP(Prodeje[[#This Row],[Prodejce]],Obchodnici[Kód prodejce],Obchodnici[Jméno])</f>
        <v>Bouše</v>
      </c>
      <c r="H199" t="str">
        <f>_xlfn.XLOOKUP(Prodeje[[#This Row],[Prodejce]],Obchodnici[Kód prodejce],Obchodnici[Region])</f>
        <v>Severní Čechy</v>
      </c>
    </row>
    <row r="200" spans="2:8" hidden="1" x14ac:dyDescent="0.25">
      <c r="B200" s="1">
        <v>45856</v>
      </c>
      <c r="C200" t="s">
        <v>277</v>
      </c>
      <c r="D200" t="s">
        <v>80</v>
      </c>
      <c r="E200" t="s">
        <v>25</v>
      </c>
      <c r="F200">
        <v>1</v>
      </c>
      <c r="G200" t="str">
        <f>_xlfn.XLOOKUP(Prodeje[[#This Row],[Prodejce]],Obchodnici[Kód prodejce],Obchodnici[Jméno])</f>
        <v>Kapřík</v>
      </c>
      <c r="H200" t="str">
        <f>_xlfn.XLOOKUP(Prodeje[[#This Row],[Prodejce]],Obchodnici[Kód prodejce],Obchodnici[Region])</f>
        <v>Západní Čechy</v>
      </c>
    </row>
    <row r="201" spans="2:8" hidden="1" x14ac:dyDescent="0.25">
      <c r="B201" s="1">
        <v>45917</v>
      </c>
      <c r="C201" t="s">
        <v>278</v>
      </c>
      <c r="D201" t="s">
        <v>80</v>
      </c>
      <c r="E201" t="s">
        <v>9</v>
      </c>
      <c r="F201">
        <v>1</v>
      </c>
      <c r="G201" t="str">
        <f>_xlfn.XLOOKUP(Prodeje[[#This Row],[Prodejce]],Obchodnici[Kód prodejce],Obchodnici[Jméno])</f>
        <v>Bouše</v>
      </c>
      <c r="H201" t="str">
        <f>_xlfn.XLOOKUP(Prodeje[[#This Row],[Prodejce]],Obchodnici[Kód prodejce],Obchodnici[Region])</f>
        <v>Severní Čechy</v>
      </c>
    </row>
    <row r="202" spans="2:8" hidden="1" x14ac:dyDescent="0.25">
      <c r="B202" s="1">
        <v>45917</v>
      </c>
      <c r="C202" t="s">
        <v>279</v>
      </c>
      <c r="D202" t="s">
        <v>80</v>
      </c>
      <c r="E202" t="s">
        <v>15</v>
      </c>
      <c r="F202">
        <v>1</v>
      </c>
      <c r="G202" t="str">
        <f>_xlfn.XLOOKUP(Prodeje[[#This Row],[Prodejce]],Obchodnici[Kód prodejce],Obchodnici[Jméno])</f>
        <v>Nebohý</v>
      </c>
      <c r="H202" t="str">
        <f>_xlfn.XLOOKUP(Prodeje[[#This Row],[Prodejce]],Obchodnici[Kód prodejce],Obchodnici[Region])</f>
        <v>Praha</v>
      </c>
    </row>
    <row r="203" spans="2:8" hidden="1" x14ac:dyDescent="0.25">
      <c r="B203" s="1">
        <v>45929</v>
      </c>
      <c r="C203" t="s">
        <v>280</v>
      </c>
      <c r="D203" t="s">
        <v>80</v>
      </c>
      <c r="E203" t="s">
        <v>14</v>
      </c>
      <c r="F203">
        <v>1</v>
      </c>
      <c r="G203" t="str">
        <f>_xlfn.XLOOKUP(Prodeje[[#This Row],[Prodejce]],Obchodnici[Kód prodejce],Obchodnici[Jméno])</f>
        <v>Sklenář</v>
      </c>
      <c r="H203" t="str">
        <f>_xlfn.XLOOKUP(Prodeje[[#This Row],[Prodejce]],Obchodnici[Kód prodejce],Obchodnici[Region])</f>
        <v>Praha</v>
      </c>
    </row>
    <row r="204" spans="2:8" hidden="1" x14ac:dyDescent="0.25">
      <c r="B204" s="1">
        <v>45922</v>
      </c>
      <c r="C204" t="s">
        <v>281</v>
      </c>
      <c r="D204" t="s">
        <v>80</v>
      </c>
      <c r="E204" t="s">
        <v>9</v>
      </c>
      <c r="F204">
        <v>1</v>
      </c>
      <c r="G204" t="str">
        <f>_xlfn.XLOOKUP(Prodeje[[#This Row],[Prodejce]],Obchodnici[Kód prodejce],Obchodnici[Jméno])</f>
        <v>Bouše</v>
      </c>
      <c r="H204" t="str">
        <f>_xlfn.XLOOKUP(Prodeje[[#This Row],[Prodejce]],Obchodnici[Kód prodejce],Obchodnici[Region])</f>
        <v>Severní Čechy</v>
      </c>
    </row>
    <row r="205" spans="2:8" x14ac:dyDescent="0.25">
      <c r="B205" s="1">
        <v>45925</v>
      </c>
      <c r="C205" t="s">
        <v>282</v>
      </c>
      <c r="D205" t="s">
        <v>81</v>
      </c>
      <c r="E205" t="s">
        <v>25</v>
      </c>
      <c r="F205">
        <v>1</v>
      </c>
      <c r="G205" t="str">
        <f>_xlfn.XLOOKUP(Prodeje[[#This Row],[Prodejce]],Obchodnici[Kód prodejce],Obchodnici[Jméno])</f>
        <v>Kapřík</v>
      </c>
      <c r="H205" t="str">
        <f>_xlfn.XLOOKUP(Prodeje[[#This Row],[Prodejce]],Obchodnici[Kód prodejce],Obchodnici[Region])</f>
        <v>Západní Čechy</v>
      </c>
    </row>
    <row r="206" spans="2:8" x14ac:dyDescent="0.25">
      <c r="B206" s="1">
        <v>45929</v>
      </c>
      <c r="C206" t="s">
        <v>283</v>
      </c>
      <c r="D206" t="s">
        <v>81</v>
      </c>
      <c r="E206" t="s">
        <v>16</v>
      </c>
      <c r="F206">
        <v>1</v>
      </c>
      <c r="G206" t="str">
        <f>_xlfn.XLOOKUP(Prodeje[[#This Row],[Prodejce]],Obchodnici[Kód prodejce],Obchodnici[Jméno])</f>
        <v>Jarník</v>
      </c>
      <c r="H206" t="str">
        <f>_xlfn.XLOOKUP(Prodeje[[#This Row],[Prodejce]],Obchodnici[Kód prodejce],Obchodnici[Region])</f>
        <v>Praha</v>
      </c>
    </row>
    <row r="207" spans="2:8" hidden="1" x14ac:dyDescent="0.25">
      <c r="B207" s="1">
        <v>45917</v>
      </c>
      <c r="C207" t="s">
        <v>284</v>
      </c>
      <c r="D207" t="s">
        <v>80</v>
      </c>
      <c r="E207" s="6" t="s">
        <v>25</v>
      </c>
      <c r="F207">
        <v>1</v>
      </c>
      <c r="G207" t="str">
        <f>_xlfn.XLOOKUP(Prodeje[[#This Row],[Prodejce]],Obchodnici[Kód prodejce],Obchodnici[Jméno])</f>
        <v>Kapřík</v>
      </c>
      <c r="H207" t="str">
        <f>_xlfn.XLOOKUP(Prodeje[[#This Row],[Prodejce]],Obchodnici[Kód prodejce],Obchodnici[Region])</f>
        <v>Západní Čechy</v>
      </c>
    </row>
    <row r="208" spans="2:8" hidden="1" x14ac:dyDescent="0.25">
      <c r="B208" s="1">
        <v>45855</v>
      </c>
      <c r="C208" t="s">
        <v>285</v>
      </c>
      <c r="D208" t="s">
        <v>80</v>
      </c>
      <c r="E208" t="s">
        <v>9</v>
      </c>
      <c r="F208">
        <v>1</v>
      </c>
      <c r="G208" t="str">
        <f>_xlfn.XLOOKUP(Prodeje[[#This Row],[Prodejce]],Obchodnici[Kód prodejce],Obchodnici[Jméno])</f>
        <v>Bouše</v>
      </c>
      <c r="H208" t="str">
        <f>_xlfn.XLOOKUP(Prodeje[[#This Row],[Prodejce]],Obchodnici[Kód prodejce],Obchodnici[Region])</f>
        <v>Severní Čechy</v>
      </c>
    </row>
    <row r="209" spans="2:8" hidden="1" x14ac:dyDescent="0.25">
      <c r="B209" s="1">
        <v>45929</v>
      </c>
      <c r="C209" t="s">
        <v>286</v>
      </c>
      <c r="D209" t="s">
        <v>80</v>
      </c>
      <c r="E209" s="6" t="s">
        <v>13</v>
      </c>
      <c r="F209">
        <v>1</v>
      </c>
      <c r="G209" t="str">
        <f>_xlfn.XLOOKUP(Prodeje[[#This Row],[Prodejce]],Obchodnici[Kód prodejce],Obchodnici[Jméno])</f>
        <v>Zounar</v>
      </c>
      <c r="H209" t="str">
        <f>_xlfn.XLOOKUP(Prodeje[[#This Row],[Prodejce]],Obchodnici[Kód prodejce],Obchodnici[Region])</f>
        <v>Praha</v>
      </c>
    </row>
    <row r="210" spans="2:8" hidden="1" x14ac:dyDescent="0.25">
      <c r="B210" s="1">
        <v>45863</v>
      </c>
      <c r="C210" t="s">
        <v>287</v>
      </c>
      <c r="D210" t="s">
        <v>80</v>
      </c>
      <c r="E210" t="s">
        <v>21</v>
      </c>
      <c r="F210">
        <v>3</v>
      </c>
      <c r="G210" t="str">
        <f>_xlfn.XLOOKUP(Prodeje[[#This Row],[Prodejce]],Obchodnici[Kód prodejce],Obchodnici[Jméno])</f>
        <v>Nováček</v>
      </c>
      <c r="H210" t="str">
        <f>_xlfn.XLOOKUP(Prodeje[[#This Row],[Prodejce]],Obchodnici[Kód prodejce],Obchodnici[Region])</f>
        <v>Severní Čechy</v>
      </c>
    </row>
    <row r="211" spans="2:8" x14ac:dyDescent="0.25">
      <c r="B211" s="1">
        <v>45922</v>
      </c>
      <c r="C211" t="s">
        <v>288</v>
      </c>
      <c r="D211" t="s">
        <v>81</v>
      </c>
      <c r="E211" t="s">
        <v>12</v>
      </c>
      <c r="F211">
        <v>1</v>
      </c>
      <c r="G211" t="str">
        <f>_xlfn.XLOOKUP(Prodeje[[#This Row],[Prodejce]],Obchodnici[Kód prodejce],Obchodnici[Jméno])</f>
        <v>Fišer</v>
      </c>
      <c r="H211" t="str">
        <f>_xlfn.XLOOKUP(Prodeje[[#This Row],[Prodejce]],Obchodnici[Kód prodejce],Obchodnici[Region])</f>
        <v>Praha</v>
      </c>
    </row>
    <row r="212" spans="2:8" hidden="1" x14ac:dyDescent="0.25">
      <c r="B212" s="1">
        <v>45925</v>
      </c>
      <c r="C212" t="s">
        <v>289</v>
      </c>
      <c r="D212" t="s">
        <v>80</v>
      </c>
      <c r="E212" t="s">
        <v>15</v>
      </c>
      <c r="F212">
        <v>2</v>
      </c>
      <c r="G212" t="str">
        <f>_xlfn.XLOOKUP(Prodeje[[#This Row],[Prodejce]],Obchodnici[Kód prodejce],Obchodnici[Jméno])</f>
        <v>Nebohý</v>
      </c>
      <c r="H212" t="str">
        <f>_xlfn.XLOOKUP(Prodeje[[#This Row],[Prodejce]],Obchodnici[Kód prodejce],Obchodnici[Region])</f>
        <v>Praha</v>
      </c>
    </row>
    <row r="213" spans="2:8" hidden="1" x14ac:dyDescent="0.25">
      <c r="B213" s="1">
        <v>45922</v>
      </c>
      <c r="C213" t="s">
        <v>290</v>
      </c>
      <c r="D213" t="s">
        <v>80</v>
      </c>
      <c r="E213" t="s">
        <v>9</v>
      </c>
      <c r="F213">
        <v>1</v>
      </c>
      <c r="G213" t="str">
        <f>_xlfn.XLOOKUP(Prodeje[[#This Row],[Prodejce]],Obchodnici[Kód prodejce],Obchodnici[Jméno])</f>
        <v>Bouše</v>
      </c>
      <c r="H213" t="str">
        <f>_xlfn.XLOOKUP(Prodeje[[#This Row],[Prodejce]],Obchodnici[Kód prodejce],Obchodnici[Region])</f>
        <v>Severní Čechy</v>
      </c>
    </row>
    <row r="214" spans="2:8" hidden="1" x14ac:dyDescent="0.25">
      <c r="B214" s="1">
        <v>45920</v>
      </c>
      <c r="C214" t="s">
        <v>291</v>
      </c>
      <c r="D214" t="s">
        <v>80</v>
      </c>
      <c r="E214" t="s">
        <v>22</v>
      </c>
      <c r="F214">
        <v>1</v>
      </c>
      <c r="G214" t="str">
        <f>_xlfn.XLOOKUP(Prodeje[[#This Row],[Prodejce]],Obchodnici[Kód prodejce],Obchodnici[Jméno])</f>
        <v>Brumbla</v>
      </c>
      <c r="H214" t="str">
        <f>_xlfn.XLOOKUP(Prodeje[[#This Row],[Prodejce]],Obchodnici[Kód prodejce],Obchodnici[Region])</f>
        <v>Severní Čechy</v>
      </c>
    </row>
    <row r="215" spans="2:8" hidden="1" x14ac:dyDescent="0.25">
      <c r="B215" s="1">
        <v>45925</v>
      </c>
      <c r="C215" t="s">
        <v>292</v>
      </c>
      <c r="D215" t="s">
        <v>80</v>
      </c>
      <c r="E215" t="s">
        <v>9</v>
      </c>
      <c r="F215">
        <v>1</v>
      </c>
      <c r="G215" t="str">
        <f>_xlfn.XLOOKUP(Prodeje[[#This Row],[Prodejce]],Obchodnici[Kód prodejce],Obchodnici[Jméno])</f>
        <v>Bouše</v>
      </c>
      <c r="H215" t="str">
        <f>_xlfn.XLOOKUP(Prodeje[[#This Row],[Prodejce]],Obchodnici[Kód prodejce],Obchodnici[Region])</f>
        <v>Severní Čechy</v>
      </c>
    </row>
    <row r="216" spans="2:8" hidden="1" x14ac:dyDescent="0.25">
      <c r="B216" s="1">
        <v>45895</v>
      </c>
      <c r="C216" t="s">
        <v>293</v>
      </c>
      <c r="D216" t="s">
        <v>80</v>
      </c>
      <c r="E216" t="s">
        <v>16</v>
      </c>
      <c r="F216">
        <v>1</v>
      </c>
      <c r="G216" t="str">
        <f>_xlfn.XLOOKUP(Prodeje[[#This Row],[Prodejce]],Obchodnici[Kód prodejce],Obchodnici[Jméno])</f>
        <v>Jarník</v>
      </c>
      <c r="H216" t="str">
        <f>_xlfn.XLOOKUP(Prodeje[[#This Row],[Prodejce]],Obchodnici[Kód prodejce],Obchodnici[Region])</f>
        <v>Praha</v>
      </c>
    </row>
    <row r="217" spans="2:8" hidden="1" x14ac:dyDescent="0.25">
      <c r="B217" s="1">
        <v>45925</v>
      </c>
      <c r="C217" t="s">
        <v>294</v>
      </c>
      <c r="D217" t="s">
        <v>80</v>
      </c>
      <c r="E217" t="s">
        <v>25</v>
      </c>
      <c r="F217">
        <v>1</v>
      </c>
      <c r="G217" t="str">
        <f>_xlfn.XLOOKUP(Prodeje[[#This Row],[Prodejce]],Obchodnici[Kód prodejce],Obchodnici[Jméno])</f>
        <v>Kapřík</v>
      </c>
      <c r="H217" t="str">
        <f>_xlfn.XLOOKUP(Prodeje[[#This Row],[Prodejce]],Obchodnici[Kód prodejce],Obchodnici[Region])</f>
        <v>Západní Čechy</v>
      </c>
    </row>
    <row r="218" spans="2:8" hidden="1" x14ac:dyDescent="0.25">
      <c r="B218" s="1">
        <v>45922</v>
      </c>
      <c r="C218" t="s">
        <v>295</v>
      </c>
      <c r="D218" t="s">
        <v>80</v>
      </c>
      <c r="E218" t="s">
        <v>22</v>
      </c>
      <c r="F218">
        <v>1</v>
      </c>
      <c r="G218" t="str">
        <f>_xlfn.XLOOKUP(Prodeje[[#This Row],[Prodejce]],Obchodnici[Kód prodejce],Obchodnici[Jméno])</f>
        <v>Brumbla</v>
      </c>
      <c r="H218" t="str">
        <f>_xlfn.XLOOKUP(Prodeje[[#This Row],[Prodejce]],Obchodnici[Kód prodejce],Obchodnici[Region])</f>
        <v>Severní Čechy</v>
      </c>
    </row>
    <row r="219" spans="2:8" hidden="1" x14ac:dyDescent="0.25">
      <c r="B219" s="1">
        <v>45867</v>
      </c>
      <c r="C219" t="s">
        <v>296</v>
      </c>
      <c r="D219" t="s">
        <v>80</v>
      </c>
      <c r="E219" t="s">
        <v>22</v>
      </c>
      <c r="F219">
        <v>1</v>
      </c>
      <c r="G219" t="str">
        <f>_xlfn.XLOOKUP(Prodeje[[#This Row],[Prodejce]],Obchodnici[Kód prodejce],Obchodnici[Jméno])</f>
        <v>Brumbla</v>
      </c>
      <c r="H219" t="str">
        <f>_xlfn.XLOOKUP(Prodeje[[#This Row],[Prodejce]],Obchodnici[Kód prodejce],Obchodnici[Region])</f>
        <v>Severní Čechy</v>
      </c>
    </row>
    <row r="220" spans="2:8" hidden="1" x14ac:dyDescent="0.25">
      <c r="B220" s="1">
        <v>45930</v>
      </c>
      <c r="C220" t="s">
        <v>297</v>
      </c>
      <c r="D220" t="s">
        <v>80</v>
      </c>
      <c r="E220" t="s">
        <v>15</v>
      </c>
      <c r="F220">
        <v>1</v>
      </c>
      <c r="G220" t="str">
        <f>_xlfn.XLOOKUP(Prodeje[[#This Row],[Prodejce]],Obchodnici[Kód prodejce],Obchodnici[Jméno])</f>
        <v>Nebohý</v>
      </c>
      <c r="H220" t="str">
        <f>_xlfn.XLOOKUP(Prodeje[[#This Row],[Prodejce]],Obchodnici[Kód prodejce],Obchodnici[Region])</f>
        <v>Praha</v>
      </c>
    </row>
    <row r="221" spans="2:8" hidden="1" x14ac:dyDescent="0.25">
      <c r="B221" s="1">
        <v>45879</v>
      </c>
      <c r="C221" t="s">
        <v>298</v>
      </c>
      <c r="D221" t="s">
        <v>80</v>
      </c>
      <c r="E221" t="s">
        <v>26</v>
      </c>
      <c r="F221">
        <v>2</v>
      </c>
      <c r="G221" t="str">
        <f>_xlfn.XLOOKUP(Prodeje[[#This Row],[Prodejce]],Obchodnici[Kód prodejce],Obchodnici[Jméno])</f>
        <v>Adamek</v>
      </c>
      <c r="H221" t="str">
        <f>_xlfn.XLOOKUP(Prodeje[[#This Row],[Prodejce]],Obchodnici[Kód prodejce],Obchodnici[Region])</f>
        <v>Jižní Čechy</v>
      </c>
    </row>
    <row r="222" spans="2:8" hidden="1" x14ac:dyDescent="0.25">
      <c r="B222" s="1">
        <v>45922</v>
      </c>
      <c r="C222" t="s">
        <v>299</v>
      </c>
      <c r="D222" t="s">
        <v>80</v>
      </c>
      <c r="E222" t="s">
        <v>13</v>
      </c>
      <c r="F222">
        <v>1</v>
      </c>
      <c r="G222" t="str">
        <f>_xlfn.XLOOKUP(Prodeje[[#This Row],[Prodejce]],Obchodnici[Kód prodejce],Obchodnici[Jméno])</f>
        <v>Zounar</v>
      </c>
      <c r="H222" t="str">
        <f>_xlfn.XLOOKUP(Prodeje[[#This Row],[Prodejce]],Obchodnici[Kód prodejce],Obchodnici[Region])</f>
        <v>Praha</v>
      </c>
    </row>
    <row r="223" spans="2:8" hidden="1" x14ac:dyDescent="0.25">
      <c r="B223" s="1">
        <v>45932</v>
      </c>
      <c r="C223" t="s">
        <v>300</v>
      </c>
      <c r="D223" t="s">
        <v>81</v>
      </c>
      <c r="E223" t="s">
        <v>26</v>
      </c>
      <c r="F223">
        <v>1</v>
      </c>
      <c r="G223" t="str">
        <f>_xlfn.XLOOKUP(Prodeje[[#This Row],[Prodejce]],Obchodnici[Kód prodejce],Obchodnici[Jméno])</f>
        <v>Adamek</v>
      </c>
      <c r="H223" t="str">
        <f>_xlfn.XLOOKUP(Prodeje[[#This Row],[Prodejce]],Obchodnici[Kód prodejce],Obchodnici[Region])</f>
        <v>Jižní Čechy</v>
      </c>
    </row>
    <row r="224" spans="2:8" hidden="1" x14ac:dyDescent="0.25">
      <c r="B224" s="1">
        <v>45910</v>
      </c>
      <c r="C224" t="s">
        <v>301</v>
      </c>
      <c r="D224" t="s">
        <v>80</v>
      </c>
      <c r="E224" t="s">
        <v>15</v>
      </c>
      <c r="F224">
        <v>1</v>
      </c>
      <c r="G224" t="str">
        <f>_xlfn.XLOOKUP(Prodeje[[#This Row],[Prodejce]],Obchodnici[Kód prodejce],Obchodnici[Jméno])</f>
        <v>Nebohý</v>
      </c>
      <c r="H224" t="str">
        <f>_xlfn.XLOOKUP(Prodeje[[#This Row],[Prodejce]],Obchodnici[Kód prodejce],Obchodnici[Region])</f>
        <v>Praha</v>
      </c>
    </row>
    <row r="225" spans="2:8" hidden="1" x14ac:dyDescent="0.25">
      <c r="B225" s="1">
        <v>45874</v>
      </c>
      <c r="C225" t="s">
        <v>302</v>
      </c>
      <c r="D225" t="s">
        <v>80</v>
      </c>
      <c r="E225" t="s">
        <v>26</v>
      </c>
      <c r="F225">
        <v>1</v>
      </c>
      <c r="G225" t="str">
        <f>_xlfn.XLOOKUP(Prodeje[[#This Row],[Prodejce]],Obchodnici[Kód prodejce],Obchodnici[Jméno])</f>
        <v>Adamek</v>
      </c>
      <c r="H225" t="str">
        <f>_xlfn.XLOOKUP(Prodeje[[#This Row],[Prodejce]],Obchodnici[Kód prodejce],Obchodnici[Region])</f>
        <v>Jižní Čechy</v>
      </c>
    </row>
    <row r="226" spans="2:8" hidden="1" x14ac:dyDescent="0.25">
      <c r="B226" s="1">
        <v>45933</v>
      </c>
      <c r="C226" t="s">
        <v>303</v>
      </c>
      <c r="D226" t="s">
        <v>80</v>
      </c>
      <c r="E226" t="s">
        <v>16</v>
      </c>
      <c r="F226">
        <v>1</v>
      </c>
      <c r="G226" t="str">
        <f>_xlfn.XLOOKUP(Prodeje[[#This Row],[Prodejce]],Obchodnici[Kód prodejce],Obchodnici[Jméno])</f>
        <v>Jarník</v>
      </c>
      <c r="H226" t="str">
        <f>_xlfn.XLOOKUP(Prodeje[[#This Row],[Prodejce]],Obchodnici[Kód prodejce],Obchodnici[Region])</f>
        <v>Praha</v>
      </c>
    </row>
    <row r="227" spans="2:8" hidden="1" x14ac:dyDescent="0.25">
      <c r="B227" s="1">
        <v>45922</v>
      </c>
      <c r="C227" t="s">
        <v>304</v>
      </c>
      <c r="D227" t="s">
        <v>80</v>
      </c>
      <c r="E227" t="s">
        <v>24</v>
      </c>
      <c r="F227">
        <v>1</v>
      </c>
      <c r="G227" t="str">
        <f>_xlfn.XLOOKUP(Prodeje[[#This Row],[Prodejce]],Obchodnici[Kód prodejce],Obchodnici[Jméno])</f>
        <v>Vonková</v>
      </c>
      <c r="H227" t="str">
        <f>_xlfn.XLOOKUP(Prodeje[[#This Row],[Prodejce]],Obchodnici[Kód prodejce],Obchodnici[Region])</f>
        <v>Praha</v>
      </c>
    </row>
    <row r="228" spans="2:8" hidden="1" x14ac:dyDescent="0.25">
      <c r="B228" s="1">
        <v>45934</v>
      </c>
      <c r="C228" t="s">
        <v>305</v>
      </c>
      <c r="D228" t="s">
        <v>81</v>
      </c>
      <c r="E228" t="s">
        <v>13</v>
      </c>
      <c r="F228">
        <v>2</v>
      </c>
      <c r="G228" t="str">
        <f>_xlfn.XLOOKUP(Prodeje[[#This Row],[Prodejce]],Obchodnici[Kód prodejce],Obchodnici[Jméno])</f>
        <v>Zounar</v>
      </c>
      <c r="H228" t="str">
        <f>_xlfn.XLOOKUP(Prodeje[[#This Row],[Prodejce]],Obchodnici[Kód prodejce],Obchodnici[Region])</f>
        <v>Praha</v>
      </c>
    </row>
    <row r="229" spans="2:8" hidden="1" x14ac:dyDescent="0.25">
      <c r="B229" s="1">
        <v>45874</v>
      </c>
      <c r="C229" t="s">
        <v>306</v>
      </c>
      <c r="D229" t="s">
        <v>80</v>
      </c>
      <c r="E229" t="s">
        <v>22</v>
      </c>
      <c r="F229">
        <v>1</v>
      </c>
      <c r="G229" t="str">
        <f>_xlfn.XLOOKUP(Prodeje[[#This Row],[Prodejce]],Obchodnici[Kód prodejce],Obchodnici[Jméno])</f>
        <v>Brumbla</v>
      </c>
      <c r="H229" t="str">
        <f>_xlfn.XLOOKUP(Prodeje[[#This Row],[Prodejce]],Obchodnici[Kód prodejce],Obchodnici[Region])</f>
        <v>Severní Čechy</v>
      </c>
    </row>
    <row r="230" spans="2:8" hidden="1" x14ac:dyDescent="0.25">
      <c r="B230" s="1">
        <v>45910</v>
      </c>
      <c r="C230" t="s">
        <v>307</v>
      </c>
      <c r="D230" t="s">
        <v>80</v>
      </c>
      <c r="E230" t="s">
        <v>20</v>
      </c>
      <c r="F230">
        <v>1</v>
      </c>
      <c r="G230" t="str">
        <f>_xlfn.XLOOKUP(Prodeje[[#This Row],[Prodejce]],Obchodnici[Kód prodejce],Obchodnici[Jméno])</f>
        <v>Koutný</v>
      </c>
      <c r="H230" t="str">
        <f>_xlfn.XLOOKUP(Prodeje[[#This Row],[Prodejce]],Obchodnici[Kód prodejce],Obchodnici[Region])</f>
        <v>Jižní Čechy</v>
      </c>
    </row>
    <row r="231" spans="2:8" x14ac:dyDescent="0.25">
      <c r="B231" s="1">
        <v>45908</v>
      </c>
      <c r="C231" t="s">
        <v>308</v>
      </c>
      <c r="D231" t="s">
        <v>81</v>
      </c>
      <c r="E231" t="s">
        <v>15</v>
      </c>
      <c r="F231">
        <v>1</v>
      </c>
      <c r="G231" t="str">
        <f>_xlfn.XLOOKUP(Prodeje[[#This Row],[Prodejce]],Obchodnici[Kód prodejce],Obchodnici[Jméno])</f>
        <v>Nebohý</v>
      </c>
      <c r="H231" t="str">
        <f>_xlfn.XLOOKUP(Prodeje[[#This Row],[Prodejce]],Obchodnici[Kód prodejce],Obchodnici[Region])</f>
        <v>Praha</v>
      </c>
    </row>
    <row r="232" spans="2:8" hidden="1" x14ac:dyDescent="0.25">
      <c r="B232" s="1">
        <v>45878</v>
      </c>
      <c r="C232" t="s">
        <v>309</v>
      </c>
      <c r="D232" t="s">
        <v>80</v>
      </c>
      <c r="E232" t="s">
        <v>24</v>
      </c>
      <c r="F232">
        <v>1</v>
      </c>
      <c r="G232" t="str">
        <f>_xlfn.XLOOKUP(Prodeje[[#This Row],[Prodejce]],Obchodnici[Kód prodejce],Obchodnici[Jméno])</f>
        <v>Vonková</v>
      </c>
      <c r="H232" t="str">
        <f>_xlfn.XLOOKUP(Prodeje[[#This Row],[Prodejce]],Obchodnici[Kód prodejce],Obchodnici[Region])</f>
        <v>Praha</v>
      </c>
    </row>
    <row r="233" spans="2:8" hidden="1" x14ac:dyDescent="0.25">
      <c r="B233" s="1">
        <v>45922</v>
      </c>
      <c r="C233" t="s">
        <v>310</v>
      </c>
      <c r="D233" t="s">
        <v>80</v>
      </c>
      <c r="E233" t="s">
        <v>14</v>
      </c>
      <c r="F233">
        <v>1</v>
      </c>
      <c r="G233" t="str">
        <f>_xlfn.XLOOKUP(Prodeje[[#This Row],[Prodejce]],Obchodnici[Kód prodejce],Obchodnici[Jméno])</f>
        <v>Sklenář</v>
      </c>
      <c r="H233" t="str">
        <f>_xlfn.XLOOKUP(Prodeje[[#This Row],[Prodejce]],Obchodnici[Kód prodejce],Obchodnici[Region])</f>
        <v>Praha</v>
      </c>
    </row>
    <row r="234" spans="2:8" x14ac:dyDescent="0.25">
      <c r="B234" s="1">
        <v>45912</v>
      </c>
      <c r="C234" t="s">
        <v>311</v>
      </c>
      <c r="D234" t="s">
        <v>81</v>
      </c>
      <c r="E234" t="s">
        <v>26</v>
      </c>
      <c r="F234">
        <v>1</v>
      </c>
      <c r="G234" t="str">
        <f>_xlfn.XLOOKUP(Prodeje[[#This Row],[Prodejce]],Obchodnici[Kód prodejce],Obchodnici[Jméno])</f>
        <v>Adamek</v>
      </c>
      <c r="H234" t="str">
        <f>_xlfn.XLOOKUP(Prodeje[[#This Row],[Prodejce]],Obchodnici[Kód prodejce],Obchodnici[Region])</f>
        <v>Jižní Čechy</v>
      </c>
    </row>
    <row r="235" spans="2:8" x14ac:dyDescent="0.25">
      <c r="B235" s="1">
        <v>45908</v>
      </c>
      <c r="C235" t="s">
        <v>312</v>
      </c>
      <c r="D235" t="s">
        <v>81</v>
      </c>
      <c r="E235" t="s">
        <v>24</v>
      </c>
      <c r="F235">
        <v>1</v>
      </c>
      <c r="G235" t="str">
        <f>_xlfn.XLOOKUP(Prodeje[[#This Row],[Prodejce]],Obchodnici[Kód prodejce],Obchodnici[Jméno])</f>
        <v>Vonková</v>
      </c>
      <c r="H235" t="str">
        <f>_xlfn.XLOOKUP(Prodeje[[#This Row],[Prodejce]],Obchodnici[Kód prodejce],Obchodnici[Region])</f>
        <v>Praha</v>
      </c>
    </row>
    <row r="236" spans="2:8" hidden="1" x14ac:dyDescent="0.25">
      <c r="B236" s="1">
        <v>45878</v>
      </c>
      <c r="C236" t="s">
        <v>313</v>
      </c>
      <c r="D236" t="s">
        <v>80</v>
      </c>
      <c r="E236" t="s">
        <v>15</v>
      </c>
      <c r="F236">
        <v>1</v>
      </c>
      <c r="G236" t="str">
        <f>_xlfn.XLOOKUP(Prodeje[[#This Row],[Prodejce]],Obchodnici[Kód prodejce],Obchodnici[Jméno])</f>
        <v>Nebohý</v>
      </c>
      <c r="H236" t="str">
        <f>_xlfn.XLOOKUP(Prodeje[[#This Row],[Prodejce]],Obchodnici[Kód prodejce],Obchodnici[Region])</f>
        <v>Praha</v>
      </c>
    </row>
    <row r="237" spans="2:8" hidden="1" x14ac:dyDescent="0.25">
      <c r="B237" s="1">
        <v>45877</v>
      </c>
      <c r="C237" t="s">
        <v>314</v>
      </c>
      <c r="D237" t="s">
        <v>80</v>
      </c>
      <c r="E237" t="s">
        <v>20</v>
      </c>
      <c r="F237">
        <v>1</v>
      </c>
      <c r="G237" t="str">
        <f>_xlfn.XLOOKUP(Prodeje[[#This Row],[Prodejce]],Obchodnici[Kód prodejce],Obchodnici[Jméno])</f>
        <v>Koutný</v>
      </c>
      <c r="H237" t="str">
        <f>_xlfn.XLOOKUP(Prodeje[[#This Row],[Prodejce]],Obchodnici[Kód prodejce],Obchodnici[Region])</f>
        <v>Jižní Čechy</v>
      </c>
    </row>
    <row r="238" spans="2:8" hidden="1" x14ac:dyDescent="0.25">
      <c r="B238" s="1">
        <v>45874</v>
      </c>
      <c r="C238" t="s">
        <v>315</v>
      </c>
      <c r="D238" t="s">
        <v>80</v>
      </c>
      <c r="E238" t="s">
        <v>25</v>
      </c>
      <c r="F238">
        <v>1</v>
      </c>
      <c r="G238" t="str">
        <f>_xlfn.XLOOKUP(Prodeje[[#This Row],[Prodejce]],Obchodnici[Kód prodejce],Obchodnici[Jméno])</f>
        <v>Kapřík</v>
      </c>
      <c r="H238" t="str">
        <f>_xlfn.XLOOKUP(Prodeje[[#This Row],[Prodejce]],Obchodnici[Kód prodejce],Obchodnici[Region])</f>
        <v>Západní Čechy</v>
      </c>
    </row>
    <row r="239" spans="2:8" hidden="1" x14ac:dyDescent="0.25">
      <c r="B239" s="1">
        <v>45875</v>
      </c>
      <c r="C239" t="s">
        <v>316</v>
      </c>
      <c r="D239" t="s">
        <v>80</v>
      </c>
      <c r="E239" t="s">
        <v>25</v>
      </c>
      <c r="F239">
        <v>1</v>
      </c>
      <c r="G239" t="str">
        <f>_xlfn.XLOOKUP(Prodeje[[#This Row],[Prodejce]],Obchodnici[Kód prodejce],Obchodnici[Jméno])</f>
        <v>Kapřík</v>
      </c>
      <c r="H239" t="str">
        <f>_xlfn.XLOOKUP(Prodeje[[#This Row],[Prodejce]],Obchodnici[Kód prodejce],Obchodnici[Region])</f>
        <v>Západní Čechy</v>
      </c>
    </row>
    <row r="240" spans="2:8" hidden="1" x14ac:dyDescent="0.25">
      <c r="B240" s="1">
        <v>45876</v>
      </c>
      <c r="C240" t="s">
        <v>317</v>
      </c>
      <c r="D240" t="s">
        <v>80</v>
      </c>
      <c r="E240" t="s">
        <v>15</v>
      </c>
      <c r="F240">
        <v>1</v>
      </c>
      <c r="G240" t="str">
        <f>_xlfn.XLOOKUP(Prodeje[[#This Row],[Prodejce]],Obchodnici[Kód prodejce],Obchodnici[Jméno])</f>
        <v>Nebohý</v>
      </c>
      <c r="H240" t="str">
        <f>_xlfn.XLOOKUP(Prodeje[[#This Row],[Prodejce]],Obchodnici[Kód prodejce],Obchodnici[Region])</f>
        <v>Praha</v>
      </c>
    </row>
    <row r="241" spans="2:8" x14ac:dyDescent="0.25">
      <c r="B241" s="1">
        <v>45908</v>
      </c>
      <c r="C241" t="s">
        <v>318</v>
      </c>
      <c r="D241" t="s">
        <v>81</v>
      </c>
      <c r="E241" t="s">
        <v>15</v>
      </c>
      <c r="F241">
        <v>1</v>
      </c>
      <c r="G241" t="str">
        <f>_xlfn.XLOOKUP(Prodeje[[#This Row],[Prodejce]],Obchodnici[Kód prodejce],Obchodnici[Jméno])</f>
        <v>Nebohý</v>
      </c>
      <c r="H241" t="str">
        <f>_xlfn.XLOOKUP(Prodeje[[#This Row],[Prodejce]],Obchodnici[Kód prodejce],Obchodnici[Region])</f>
        <v>Praha</v>
      </c>
    </row>
    <row r="242" spans="2:8" hidden="1" x14ac:dyDescent="0.25">
      <c r="B242" s="1">
        <v>45878</v>
      </c>
      <c r="C242" t="s">
        <v>319</v>
      </c>
      <c r="D242" t="s">
        <v>80</v>
      </c>
      <c r="E242" t="s">
        <v>25</v>
      </c>
      <c r="F242">
        <v>1</v>
      </c>
      <c r="G242" t="str">
        <f>_xlfn.XLOOKUP(Prodeje[[#This Row],[Prodejce]],Obchodnici[Kód prodejce],Obchodnici[Jméno])</f>
        <v>Kapřík</v>
      </c>
      <c r="H242" t="str">
        <f>_xlfn.XLOOKUP(Prodeje[[#This Row],[Prodejce]],Obchodnici[Kód prodejce],Obchodnici[Region])</f>
        <v>Západní Čechy</v>
      </c>
    </row>
    <row r="243" spans="2:8" x14ac:dyDescent="0.25">
      <c r="B243" s="1">
        <v>45910</v>
      </c>
      <c r="C243" t="s">
        <v>320</v>
      </c>
      <c r="D243" t="s">
        <v>81</v>
      </c>
      <c r="E243" t="s">
        <v>24</v>
      </c>
      <c r="F243">
        <v>1</v>
      </c>
      <c r="G243" t="str">
        <f>_xlfn.XLOOKUP(Prodeje[[#This Row],[Prodejce]],Obchodnici[Kód prodejce],Obchodnici[Jméno])</f>
        <v>Vonková</v>
      </c>
      <c r="H243" t="str">
        <f>_xlfn.XLOOKUP(Prodeje[[#This Row],[Prodejce]],Obchodnici[Kód prodejce],Obchodnici[Region])</f>
        <v>Praha</v>
      </c>
    </row>
    <row r="244" spans="2:8" hidden="1" x14ac:dyDescent="0.25">
      <c r="B244" s="1">
        <v>45911</v>
      </c>
      <c r="C244" t="s">
        <v>321</v>
      </c>
      <c r="D244" t="s">
        <v>80</v>
      </c>
      <c r="E244" t="s">
        <v>25</v>
      </c>
      <c r="F244">
        <v>1</v>
      </c>
      <c r="G244" t="str">
        <f>_xlfn.XLOOKUP(Prodeje[[#This Row],[Prodejce]],Obchodnici[Kód prodejce],Obchodnici[Jméno])</f>
        <v>Kapřík</v>
      </c>
      <c r="H244" t="str">
        <f>_xlfn.XLOOKUP(Prodeje[[#This Row],[Prodejce]],Obchodnici[Kód prodejce],Obchodnici[Region])</f>
        <v>Západní Čechy</v>
      </c>
    </row>
    <row r="245" spans="2:8" hidden="1" x14ac:dyDescent="0.25">
      <c r="B245" s="1">
        <v>45912</v>
      </c>
      <c r="C245" t="s">
        <v>322</v>
      </c>
      <c r="D245" t="s">
        <v>80</v>
      </c>
      <c r="E245" t="s">
        <v>16</v>
      </c>
      <c r="F245">
        <v>1</v>
      </c>
      <c r="G245" t="str">
        <f>_xlfn.XLOOKUP(Prodeje[[#This Row],[Prodejce]],Obchodnici[Kód prodejce],Obchodnici[Jméno])</f>
        <v>Jarník</v>
      </c>
      <c r="H245" t="str">
        <f>_xlfn.XLOOKUP(Prodeje[[#This Row],[Prodejce]],Obchodnici[Kód prodejce],Obchodnici[Region])</f>
        <v>Praha</v>
      </c>
    </row>
    <row r="246" spans="2:8" hidden="1" x14ac:dyDescent="0.25">
      <c r="B246" s="1">
        <v>45876</v>
      </c>
      <c r="C246" t="s">
        <v>323</v>
      </c>
      <c r="D246" t="s">
        <v>80</v>
      </c>
      <c r="E246" t="s">
        <v>13</v>
      </c>
      <c r="F246">
        <v>3</v>
      </c>
      <c r="G246" t="str">
        <f>_xlfn.XLOOKUP(Prodeje[[#This Row],[Prodejce]],Obchodnici[Kód prodejce],Obchodnici[Jméno])</f>
        <v>Zounar</v>
      </c>
      <c r="H246" t="str">
        <f>_xlfn.XLOOKUP(Prodeje[[#This Row],[Prodejce]],Obchodnici[Kód prodejce],Obchodnici[Region])</f>
        <v>Praha</v>
      </c>
    </row>
    <row r="247" spans="2:8" hidden="1" x14ac:dyDescent="0.25">
      <c r="B247" s="1">
        <v>45922</v>
      </c>
      <c r="C247" t="s">
        <v>324</v>
      </c>
      <c r="D247" t="s">
        <v>80</v>
      </c>
      <c r="E247" t="s">
        <v>24</v>
      </c>
      <c r="F247">
        <v>1</v>
      </c>
      <c r="G247" t="str">
        <f>_xlfn.XLOOKUP(Prodeje[[#This Row],[Prodejce]],Obchodnici[Kód prodejce],Obchodnici[Jméno])</f>
        <v>Vonková</v>
      </c>
      <c r="H247" t="str">
        <f>_xlfn.XLOOKUP(Prodeje[[#This Row],[Prodejce]],Obchodnici[Kód prodejce],Obchodnici[Region])</f>
        <v>Praha</v>
      </c>
    </row>
    <row r="248" spans="2:8" hidden="1" x14ac:dyDescent="0.25">
      <c r="B248" s="1">
        <v>45912</v>
      </c>
      <c r="C248" t="s">
        <v>325</v>
      </c>
      <c r="D248" t="s">
        <v>80</v>
      </c>
      <c r="E248" t="s">
        <v>12</v>
      </c>
      <c r="F248">
        <v>2</v>
      </c>
      <c r="G248" t="str">
        <f>_xlfn.XLOOKUP(Prodeje[[#This Row],[Prodejce]],Obchodnici[Kód prodejce],Obchodnici[Jméno])</f>
        <v>Fišer</v>
      </c>
      <c r="H248" t="str">
        <f>_xlfn.XLOOKUP(Prodeje[[#This Row],[Prodejce]],Obchodnici[Kód prodejce],Obchodnici[Region])</f>
        <v>Praha</v>
      </c>
    </row>
    <row r="249" spans="2:8" hidden="1" x14ac:dyDescent="0.25">
      <c r="B249" s="1">
        <v>45922</v>
      </c>
      <c r="C249" t="s">
        <v>326</v>
      </c>
      <c r="D249" t="s">
        <v>80</v>
      </c>
      <c r="E249" t="s">
        <v>13</v>
      </c>
      <c r="F249">
        <v>1</v>
      </c>
      <c r="G249" t="str">
        <f>_xlfn.XLOOKUP(Prodeje[[#This Row],[Prodejce]],Obchodnici[Kód prodejce],Obchodnici[Jméno])</f>
        <v>Zounar</v>
      </c>
      <c r="H249" t="str">
        <f>_xlfn.XLOOKUP(Prodeje[[#This Row],[Prodejce]],Obchodnici[Kód prodejce],Obchodnici[Region])</f>
        <v>Praha</v>
      </c>
    </row>
    <row r="250" spans="2:8" x14ac:dyDescent="0.25">
      <c r="B250" s="1">
        <v>45912</v>
      </c>
      <c r="C250" t="s">
        <v>327</v>
      </c>
      <c r="D250" t="s">
        <v>81</v>
      </c>
      <c r="E250" t="s">
        <v>27</v>
      </c>
      <c r="F250">
        <v>1</v>
      </c>
      <c r="G250" t="str">
        <f>_xlfn.XLOOKUP(Prodeje[[#This Row],[Prodejce]],Obchodnici[Kód prodejce],Obchodnici[Jméno])</f>
        <v>Hrubá</v>
      </c>
      <c r="H250" t="str">
        <f>_xlfn.XLOOKUP(Prodeje[[#This Row],[Prodejce]],Obchodnici[Kód prodejce],Obchodnici[Region])</f>
        <v>Východní Čechy</v>
      </c>
    </row>
    <row r="251" spans="2:8" hidden="1" x14ac:dyDescent="0.25">
      <c r="B251" s="1">
        <v>45910</v>
      </c>
      <c r="C251" t="s">
        <v>328</v>
      </c>
      <c r="D251" t="s">
        <v>80</v>
      </c>
      <c r="E251" t="s">
        <v>25</v>
      </c>
      <c r="F251">
        <v>1</v>
      </c>
      <c r="G251" t="str">
        <f>_xlfn.XLOOKUP(Prodeje[[#This Row],[Prodejce]],Obchodnici[Kód prodejce],Obchodnici[Jméno])</f>
        <v>Kapřík</v>
      </c>
      <c r="H251" t="str">
        <f>_xlfn.XLOOKUP(Prodeje[[#This Row],[Prodejce]],Obchodnici[Kód prodejce],Obchodnici[Region])</f>
        <v>Západní Čechy</v>
      </c>
    </row>
    <row r="252" spans="2:8" x14ac:dyDescent="0.25">
      <c r="B252" s="1">
        <v>45912</v>
      </c>
      <c r="C252" t="s">
        <v>329</v>
      </c>
      <c r="D252" t="s">
        <v>81</v>
      </c>
      <c r="E252" t="s">
        <v>16</v>
      </c>
      <c r="F252">
        <v>1</v>
      </c>
      <c r="G252" t="str">
        <f>_xlfn.XLOOKUP(Prodeje[[#This Row],[Prodejce]],Obchodnici[Kód prodejce],Obchodnici[Jméno])</f>
        <v>Jarník</v>
      </c>
      <c r="H252" t="str">
        <f>_xlfn.XLOOKUP(Prodeje[[#This Row],[Prodejce]],Obchodnici[Kód prodejce],Obchodnici[Region])</f>
        <v>Praha</v>
      </c>
    </row>
    <row r="253" spans="2:8" hidden="1" x14ac:dyDescent="0.25">
      <c r="B253" s="1">
        <v>45912</v>
      </c>
      <c r="C253" t="s">
        <v>330</v>
      </c>
      <c r="D253" t="s">
        <v>80</v>
      </c>
      <c r="E253" t="s">
        <v>12</v>
      </c>
      <c r="F253">
        <v>1</v>
      </c>
      <c r="G253" t="str">
        <f>_xlfn.XLOOKUP(Prodeje[[#This Row],[Prodejce]],Obchodnici[Kód prodejce],Obchodnici[Jméno])</f>
        <v>Fišer</v>
      </c>
      <c r="H253" t="str">
        <f>_xlfn.XLOOKUP(Prodeje[[#This Row],[Prodejce]],Obchodnici[Kód prodejce],Obchodnici[Region])</f>
        <v>Praha</v>
      </c>
    </row>
    <row r="254" spans="2:8" hidden="1" x14ac:dyDescent="0.25">
      <c r="B254" s="1">
        <v>45860</v>
      </c>
      <c r="C254" t="s">
        <v>331</v>
      </c>
      <c r="D254" t="s">
        <v>80</v>
      </c>
      <c r="E254" t="s">
        <v>22</v>
      </c>
      <c r="F254">
        <v>1</v>
      </c>
      <c r="G254" t="str">
        <f>_xlfn.XLOOKUP(Prodeje[[#This Row],[Prodejce]],Obchodnici[Kód prodejce],Obchodnici[Jméno])</f>
        <v>Brumbla</v>
      </c>
      <c r="H254" t="str">
        <f>_xlfn.XLOOKUP(Prodeje[[#This Row],[Prodejce]],Obchodnici[Kód prodejce],Obchodnici[Region])</f>
        <v>Severní Čechy</v>
      </c>
    </row>
    <row r="255" spans="2:8" hidden="1" x14ac:dyDescent="0.25">
      <c r="B255" s="1">
        <v>45922</v>
      </c>
      <c r="C255" t="s">
        <v>332</v>
      </c>
      <c r="D255" t="s">
        <v>80</v>
      </c>
      <c r="E255" t="s">
        <v>14</v>
      </c>
      <c r="F255">
        <v>1</v>
      </c>
      <c r="G255" t="str">
        <f>_xlfn.XLOOKUP(Prodeje[[#This Row],[Prodejce]],Obchodnici[Kód prodejce],Obchodnici[Jméno])</f>
        <v>Sklenář</v>
      </c>
      <c r="H255" t="str">
        <f>_xlfn.XLOOKUP(Prodeje[[#This Row],[Prodejce]],Obchodnici[Kód prodejce],Obchodnici[Region])</f>
        <v>Praha</v>
      </c>
    </row>
    <row r="256" spans="2:8" hidden="1" x14ac:dyDescent="0.25">
      <c r="B256" s="1">
        <v>45908</v>
      </c>
      <c r="C256" t="s">
        <v>333</v>
      </c>
      <c r="D256" t="s">
        <v>80</v>
      </c>
      <c r="E256" t="s">
        <v>20</v>
      </c>
      <c r="F256">
        <v>1</v>
      </c>
      <c r="G256" t="str">
        <f>_xlfn.XLOOKUP(Prodeje[[#This Row],[Prodejce]],Obchodnici[Kód prodejce],Obchodnici[Jméno])</f>
        <v>Koutný</v>
      </c>
      <c r="H256" t="str">
        <f>_xlfn.XLOOKUP(Prodeje[[#This Row],[Prodejce]],Obchodnici[Kód prodejce],Obchodnici[Region])</f>
        <v>Jižní Čechy</v>
      </c>
    </row>
    <row r="257" spans="2:8" hidden="1" x14ac:dyDescent="0.25">
      <c r="B257" s="1">
        <v>45910</v>
      </c>
      <c r="C257" t="s">
        <v>334</v>
      </c>
      <c r="D257" t="s">
        <v>80</v>
      </c>
      <c r="E257" t="s">
        <v>16</v>
      </c>
      <c r="F257">
        <v>1</v>
      </c>
      <c r="G257" t="str">
        <f>_xlfn.XLOOKUP(Prodeje[[#This Row],[Prodejce]],Obchodnici[Kód prodejce],Obchodnici[Jméno])</f>
        <v>Jarník</v>
      </c>
      <c r="H257" t="str">
        <f>_xlfn.XLOOKUP(Prodeje[[#This Row],[Prodejce]],Obchodnici[Kód prodejce],Obchodnici[Region])</f>
        <v>Praha</v>
      </c>
    </row>
    <row r="258" spans="2:8" hidden="1" x14ac:dyDescent="0.25">
      <c r="B258" s="1">
        <v>45912</v>
      </c>
      <c r="C258" t="s">
        <v>335</v>
      </c>
      <c r="D258" t="s">
        <v>80</v>
      </c>
      <c r="E258" t="s">
        <v>24</v>
      </c>
      <c r="F258">
        <v>1</v>
      </c>
      <c r="G258" t="str">
        <f>_xlfn.XLOOKUP(Prodeje[[#This Row],[Prodejce]],Obchodnici[Kód prodejce],Obchodnici[Jméno])</f>
        <v>Vonková</v>
      </c>
      <c r="H258" t="str">
        <f>_xlfn.XLOOKUP(Prodeje[[#This Row],[Prodejce]],Obchodnici[Kód prodejce],Obchodnici[Region])</f>
        <v>Praha</v>
      </c>
    </row>
    <row r="259" spans="2:8" x14ac:dyDescent="0.25">
      <c r="B259" s="1">
        <v>45927</v>
      </c>
      <c r="C259" t="s">
        <v>336</v>
      </c>
      <c r="D259" t="s">
        <v>81</v>
      </c>
      <c r="E259" t="s">
        <v>22</v>
      </c>
      <c r="F259">
        <v>1</v>
      </c>
      <c r="G259" t="str">
        <f>_xlfn.XLOOKUP(Prodeje[[#This Row],[Prodejce]],Obchodnici[Kód prodejce],Obchodnici[Jméno])</f>
        <v>Brumbla</v>
      </c>
      <c r="H259" t="str">
        <f>_xlfn.XLOOKUP(Prodeje[[#This Row],[Prodejce]],Obchodnici[Kód prodejce],Obchodnici[Region])</f>
        <v>Severní Čechy</v>
      </c>
    </row>
    <row r="260" spans="2:8" hidden="1" x14ac:dyDescent="0.25">
      <c r="B260" s="1">
        <v>45853</v>
      </c>
      <c r="C260" t="s">
        <v>337</v>
      </c>
      <c r="D260" t="s">
        <v>80</v>
      </c>
      <c r="E260" t="s">
        <v>12</v>
      </c>
      <c r="F260">
        <v>1</v>
      </c>
      <c r="G260" t="str">
        <f>_xlfn.XLOOKUP(Prodeje[[#This Row],[Prodejce]],Obchodnici[Kód prodejce],Obchodnici[Jméno])</f>
        <v>Fišer</v>
      </c>
      <c r="H260" t="str">
        <f>_xlfn.XLOOKUP(Prodeje[[#This Row],[Prodejce]],Obchodnici[Kód prodejce],Obchodnici[Region])</f>
        <v>Praha</v>
      </c>
    </row>
    <row r="261" spans="2:8" x14ac:dyDescent="0.25">
      <c r="B261" s="1">
        <v>45916</v>
      </c>
      <c r="C261" t="s">
        <v>338</v>
      </c>
      <c r="D261" t="s">
        <v>81</v>
      </c>
      <c r="E261" t="s">
        <v>11</v>
      </c>
      <c r="F261">
        <v>1</v>
      </c>
      <c r="G261" t="str">
        <f>_xlfn.XLOOKUP(Prodeje[[#This Row],[Prodejce]],Obchodnici[Kód prodejce],Obchodnici[Jméno])</f>
        <v>Koutník</v>
      </c>
      <c r="H261" t="str">
        <f>_xlfn.XLOOKUP(Prodeje[[#This Row],[Prodejce]],Obchodnici[Kód prodejce],Obchodnici[Region])</f>
        <v>Východní Čechy</v>
      </c>
    </row>
    <row r="262" spans="2:8" hidden="1" x14ac:dyDescent="0.25">
      <c r="B262" s="1">
        <v>45915</v>
      </c>
      <c r="C262" t="s">
        <v>339</v>
      </c>
      <c r="D262" t="s">
        <v>80</v>
      </c>
      <c r="E262" t="s">
        <v>15</v>
      </c>
      <c r="F262">
        <v>1</v>
      </c>
      <c r="G262" t="str">
        <f>_xlfn.XLOOKUP(Prodeje[[#This Row],[Prodejce]],Obchodnici[Kód prodejce],Obchodnici[Jméno])</f>
        <v>Nebohý</v>
      </c>
      <c r="H262" t="str">
        <f>_xlfn.XLOOKUP(Prodeje[[#This Row],[Prodejce]],Obchodnici[Kód prodejce],Obchodnici[Region])</f>
        <v>Praha</v>
      </c>
    </row>
    <row r="263" spans="2:8" hidden="1" x14ac:dyDescent="0.25">
      <c r="B263" s="1">
        <v>45852</v>
      </c>
      <c r="C263" t="s">
        <v>340</v>
      </c>
      <c r="D263" t="s">
        <v>80</v>
      </c>
      <c r="E263" t="s">
        <v>15</v>
      </c>
      <c r="F263">
        <v>1</v>
      </c>
      <c r="G263" t="str">
        <f>_xlfn.XLOOKUP(Prodeje[[#This Row],[Prodejce]],Obchodnici[Kód prodejce],Obchodnici[Jméno])</f>
        <v>Nebohý</v>
      </c>
      <c r="H263" t="str">
        <f>_xlfn.XLOOKUP(Prodeje[[#This Row],[Prodejce]],Obchodnici[Kód prodejce],Obchodnici[Region])</f>
        <v>Praha</v>
      </c>
    </row>
    <row r="264" spans="2:8" hidden="1" x14ac:dyDescent="0.25">
      <c r="B264" s="1">
        <v>45884</v>
      </c>
      <c r="C264" t="s">
        <v>341</v>
      </c>
      <c r="D264" t="s">
        <v>80</v>
      </c>
      <c r="E264" t="s">
        <v>12</v>
      </c>
      <c r="F264">
        <v>1</v>
      </c>
      <c r="G264" t="str">
        <f>_xlfn.XLOOKUP(Prodeje[[#This Row],[Prodejce]],Obchodnici[Kód prodejce],Obchodnici[Jméno])</f>
        <v>Fišer</v>
      </c>
      <c r="H264" t="str">
        <f>_xlfn.XLOOKUP(Prodeje[[#This Row],[Prodejce]],Obchodnici[Kód prodejce],Obchodnici[Region])</f>
        <v>Praha</v>
      </c>
    </row>
    <row r="265" spans="2:8" hidden="1" x14ac:dyDescent="0.25">
      <c r="B265" s="1">
        <v>45915</v>
      </c>
      <c r="C265" t="s">
        <v>342</v>
      </c>
      <c r="D265" t="s">
        <v>80</v>
      </c>
      <c r="E265" t="s">
        <v>11</v>
      </c>
      <c r="F265">
        <v>1</v>
      </c>
      <c r="G265" t="str">
        <f>_xlfn.XLOOKUP(Prodeje[[#This Row],[Prodejce]],Obchodnici[Kód prodejce],Obchodnici[Jméno])</f>
        <v>Koutník</v>
      </c>
      <c r="H265" t="str">
        <f>_xlfn.XLOOKUP(Prodeje[[#This Row],[Prodejce]],Obchodnici[Kód prodejce],Obchodnici[Region])</f>
        <v>Východní Čechy</v>
      </c>
    </row>
    <row r="266" spans="2:8" hidden="1" x14ac:dyDescent="0.25">
      <c r="B266" s="1">
        <v>45853</v>
      </c>
      <c r="C266" t="s">
        <v>343</v>
      </c>
      <c r="D266" t="s">
        <v>80</v>
      </c>
      <c r="E266" t="s">
        <v>11</v>
      </c>
      <c r="F266">
        <v>1</v>
      </c>
      <c r="G266" t="str">
        <f>_xlfn.XLOOKUP(Prodeje[[#This Row],[Prodejce]],Obchodnici[Kód prodejce],Obchodnici[Jméno])</f>
        <v>Koutník</v>
      </c>
      <c r="H266" t="str">
        <f>_xlfn.XLOOKUP(Prodeje[[#This Row],[Prodejce]],Obchodnici[Kód prodejce],Obchodnici[Region])</f>
        <v>Východní Čechy</v>
      </c>
    </row>
    <row r="267" spans="2:8" hidden="1" x14ac:dyDescent="0.25">
      <c r="B267" s="1">
        <v>45915</v>
      </c>
      <c r="C267" t="s">
        <v>344</v>
      </c>
      <c r="D267" t="s">
        <v>80</v>
      </c>
      <c r="E267" t="s">
        <v>15</v>
      </c>
      <c r="F267">
        <v>1</v>
      </c>
      <c r="G267" t="str">
        <f>_xlfn.XLOOKUP(Prodeje[[#This Row],[Prodejce]],Obchodnici[Kód prodejce],Obchodnici[Jméno])</f>
        <v>Nebohý</v>
      </c>
      <c r="H267" t="str">
        <f>_xlfn.XLOOKUP(Prodeje[[#This Row],[Prodejce]],Obchodnici[Kód prodejce],Obchodnici[Region])</f>
        <v>Praha</v>
      </c>
    </row>
    <row r="268" spans="2:8" hidden="1" x14ac:dyDescent="0.25">
      <c r="B268" s="1">
        <v>45897</v>
      </c>
      <c r="C268" t="s">
        <v>345</v>
      </c>
      <c r="D268" t="s">
        <v>80</v>
      </c>
      <c r="E268" t="s">
        <v>11</v>
      </c>
      <c r="F268">
        <v>1</v>
      </c>
      <c r="G268" t="str">
        <f>_xlfn.XLOOKUP(Prodeje[[#This Row],[Prodejce]],Obchodnici[Kód prodejce],Obchodnici[Jméno])</f>
        <v>Koutník</v>
      </c>
      <c r="H268" t="str">
        <f>_xlfn.XLOOKUP(Prodeje[[#This Row],[Prodejce]],Obchodnici[Kód prodejce],Obchodnici[Region])</f>
        <v>Východní Čechy</v>
      </c>
    </row>
    <row r="269" spans="2:8" hidden="1" x14ac:dyDescent="0.25">
      <c r="B269" s="1">
        <v>45877</v>
      </c>
      <c r="C269" t="s">
        <v>346</v>
      </c>
      <c r="D269" t="s">
        <v>80</v>
      </c>
      <c r="E269" t="s">
        <v>24</v>
      </c>
      <c r="F269">
        <v>1</v>
      </c>
      <c r="G269" t="str">
        <f>_xlfn.XLOOKUP(Prodeje[[#This Row],[Prodejce]],Obchodnici[Kód prodejce],Obchodnici[Jméno])</f>
        <v>Vonková</v>
      </c>
      <c r="H269" t="str">
        <f>_xlfn.XLOOKUP(Prodeje[[#This Row],[Prodejce]],Obchodnici[Kód prodejce],Obchodnici[Region])</f>
        <v>Praha</v>
      </c>
    </row>
    <row r="270" spans="2:8" x14ac:dyDescent="0.25">
      <c r="B270" s="1">
        <v>45930</v>
      </c>
      <c r="C270" t="s">
        <v>347</v>
      </c>
      <c r="D270" t="s">
        <v>81</v>
      </c>
      <c r="E270" t="s">
        <v>15</v>
      </c>
      <c r="F270">
        <v>1</v>
      </c>
      <c r="G270" t="str">
        <f>_xlfn.XLOOKUP(Prodeje[[#This Row],[Prodejce]],Obchodnici[Kód prodejce],Obchodnici[Jméno])</f>
        <v>Nebohý</v>
      </c>
      <c r="H270" t="str">
        <f>_xlfn.XLOOKUP(Prodeje[[#This Row],[Prodejce]],Obchodnici[Kód prodejce],Obchodnici[Region])</f>
        <v>Praha</v>
      </c>
    </row>
    <row r="271" spans="2:8" hidden="1" x14ac:dyDescent="0.25">
      <c r="B271" s="1">
        <v>45922</v>
      </c>
      <c r="C271" t="s">
        <v>348</v>
      </c>
      <c r="D271" t="s">
        <v>80</v>
      </c>
      <c r="E271" t="s">
        <v>24</v>
      </c>
      <c r="F271">
        <v>1</v>
      </c>
      <c r="G271" t="str">
        <f>_xlfn.XLOOKUP(Prodeje[[#This Row],[Prodejce]],Obchodnici[Kód prodejce],Obchodnici[Jméno])</f>
        <v>Vonková</v>
      </c>
      <c r="H271" t="str">
        <f>_xlfn.XLOOKUP(Prodeje[[#This Row],[Prodejce]],Obchodnici[Kód prodejce],Obchodnici[Region])</f>
        <v>Praha</v>
      </c>
    </row>
    <row r="272" spans="2:8" hidden="1" x14ac:dyDescent="0.25">
      <c r="B272" s="1">
        <v>45896</v>
      </c>
      <c r="C272" t="s">
        <v>349</v>
      </c>
      <c r="D272" t="s">
        <v>80</v>
      </c>
      <c r="E272" t="s">
        <v>9</v>
      </c>
      <c r="F272">
        <v>1</v>
      </c>
      <c r="G272" t="str">
        <f>_xlfn.XLOOKUP(Prodeje[[#This Row],[Prodejce]],Obchodnici[Kód prodejce],Obchodnici[Jméno])</f>
        <v>Bouše</v>
      </c>
      <c r="H272" t="str">
        <f>_xlfn.XLOOKUP(Prodeje[[#This Row],[Prodejce]],Obchodnici[Kód prodejce],Obchodnici[Region])</f>
        <v>Severní Čechy</v>
      </c>
    </row>
    <row r="273" spans="2:8" hidden="1" x14ac:dyDescent="0.25">
      <c r="B273" s="1">
        <v>45899</v>
      </c>
      <c r="C273" t="s">
        <v>350</v>
      </c>
      <c r="D273" t="s">
        <v>80</v>
      </c>
      <c r="E273" t="s">
        <v>18</v>
      </c>
      <c r="F273">
        <v>1</v>
      </c>
      <c r="G273" t="str">
        <f>_xlfn.XLOOKUP(Prodeje[[#This Row],[Prodejce]],Obchodnici[Kód prodejce],Obchodnici[Jméno])</f>
        <v>Holý</v>
      </c>
      <c r="H273" t="str">
        <f>_xlfn.XLOOKUP(Prodeje[[#This Row],[Prodejce]],Obchodnici[Kód prodejce],Obchodnici[Region])</f>
        <v>Jižní Čechy</v>
      </c>
    </row>
    <row r="274" spans="2:8" hidden="1" x14ac:dyDescent="0.25">
      <c r="B274" s="1">
        <v>45854</v>
      </c>
      <c r="C274" t="s">
        <v>351</v>
      </c>
      <c r="D274" t="s">
        <v>80</v>
      </c>
      <c r="E274" s="6" t="s">
        <v>26</v>
      </c>
      <c r="F274">
        <v>2</v>
      </c>
      <c r="G274" t="str">
        <f>_xlfn.XLOOKUP(Prodeje[[#This Row],[Prodejce]],Obchodnici[Kód prodejce],Obchodnici[Jméno])</f>
        <v>Adamek</v>
      </c>
      <c r="H274" t="str">
        <f>_xlfn.XLOOKUP(Prodeje[[#This Row],[Prodejce]],Obchodnici[Kód prodejce],Obchodnici[Region])</f>
        <v>Jižní Čechy</v>
      </c>
    </row>
    <row r="275" spans="2:8" hidden="1" x14ac:dyDescent="0.25">
      <c r="B275" s="1">
        <v>45927</v>
      </c>
      <c r="C275" t="s">
        <v>352</v>
      </c>
      <c r="D275" t="s">
        <v>80</v>
      </c>
      <c r="E275" t="s">
        <v>15</v>
      </c>
      <c r="F275">
        <v>1</v>
      </c>
      <c r="G275" t="str">
        <f>_xlfn.XLOOKUP(Prodeje[[#This Row],[Prodejce]],Obchodnici[Kód prodejce],Obchodnici[Jméno])</f>
        <v>Nebohý</v>
      </c>
      <c r="H275" t="str">
        <f>_xlfn.XLOOKUP(Prodeje[[#This Row],[Prodejce]],Obchodnici[Kód prodejce],Obchodnici[Region])</f>
        <v>Praha</v>
      </c>
    </row>
    <row r="276" spans="2:8" hidden="1" x14ac:dyDescent="0.25">
      <c r="B276" s="1">
        <v>45899</v>
      </c>
      <c r="C276" t="s">
        <v>353</v>
      </c>
      <c r="D276" t="s">
        <v>80</v>
      </c>
      <c r="E276" t="s">
        <v>24</v>
      </c>
      <c r="F276">
        <v>1</v>
      </c>
      <c r="G276" t="str">
        <f>_xlfn.XLOOKUP(Prodeje[[#This Row],[Prodejce]],Obchodnici[Kód prodejce],Obchodnici[Jméno])</f>
        <v>Vonková</v>
      </c>
      <c r="H276" t="str">
        <f>_xlfn.XLOOKUP(Prodeje[[#This Row],[Prodejce]],Obchodnici[Kód prodejce],Obchodnici[Region])</f>
        <v>Praha</v>
      </c>
    </row>
    <row r="277" spans="2:8" hidden="1" x14ac:dyDescent="0.25">
      <c r="B277" s="1">
        <v>45864</v>
      </c>
      <c r="C277" t="s">
        <v>354</v>
      </c>
      <c r="D277" t="s">
        <v>80</v>
      </c>
      <c r="E277" t="s">
        <v>22</v>
      </c>
      <c r="F277">
        <v>2</v>
      </c>
      <c r="G277" t="str">
        <f>_xlfn.XLOOKUP(Prodeje[[#This Row],[Prodejce]],Obchodnici[Kód prodejce],Obchodnici[Jméno])</f>
        <v>Brumbla</v>
      </c>
      <c r="H277" t="str">
        <f>_xlfn.XLOOKUP(Prodeje[[#This Row],[Prodejce]],Obchodnici[Kód prodejce],Obchodnici[Region])</f>
        <v>Severní Čechy</v>
      </c>
    </row>
    <row r="278" spans="2:8" x14ac:dyDescent="0.25">
      <c r="B278" s="1">
        <v>45928</v>
      </c>
      <c r="C278" t="s">
        <v>355</v>
      </c>
      <c r="D278" t="s">
        <v>81</v>
      </c>
      <c r="E278" t="s">
        <v>22</v>
      </c>
      <c r="F278">
        <v>1</v>
      </c>
      <c r="G278" t="str">
        <f>_xlfn.XLOOKUP(Prodeje[[#This Row],[Prodejce]],Obchodnici[Kód prodejce],Obchodnici[Jméno])</f>
        <v>Brumbla</v>
      </c>
      <c r="H278" t="str">
        <f>_xlfn.XLOOKUP(Prodeje[[#This Row],[Prodejce]],Obchodnici[Kód prodejce],Obchodnici[Region])</f>
        <v>Severní Čechy</v>
      </c>
    </row>
    <row r="279" spans="2:8" hidden="1" x14ac:dyDescent="0.25">
      <c r="B279" s="1">
        <v>45864</v>
      </c>
      <c r="C279" t="s">
        <v>356</v>
      </c>
      <c r="D279" t="s">
        <v>80</v>
      </c>
      <c r="E279" t="s">
        <v>14</v>
      </c>
      <c r="F279">
        <v>1</v>
      </c>
      <c r="G279" t="str">
        <f>_xlfn.XLOOKUP(Prodeje[[#This Row],[Prodejce]],Obchodnici[Kód prodejce],Obchodnici[Jméno])</f>
        <v>Sklenář</v>
      </c>
      <c r="H279" t="str">
        <f>_xlfn.XLOOKUP(Prodeje[[#This Row],[Prodejce]],Obchodnici[Kód prodejce],Obchodnici[Region])</f>
        <v>Praha</v>
      </c>
    </row>
    <row r="280" spans="2:8" hidden="1" x14ac:dyDescent="0.25">
      <c r="B280" s="1">
        <v>45927</v>
      </c>
      <c r="C280" t="s">
        <v>357</v>
      </c>
      <c r="D280" t="s">
        <v>80</v>
      </c>
      <c r="E280" t="s">
        <v>17</v>
      </c>
      <c r="F280">
        <v>2</v>
      </c>
      <c r="G280" t="str">
        <f>_xlfn.XLOOKUP(Prodeje[[#This Row],[Prodejce]],Obchodnici[Kód prodejce],Obchodnici[Jméno])</f>
        <v>Kovaříček</v>
      </c>
      <c r="H280" t="str">
        <f>_xlfn.XLOOKUP(Prodeje[[#This Row],[Prodejce]],Obchodnici[Kód prodejce],Obchodnici[Region])</f>
        <v>Severní Čechy</v>
      </c>
    </row>
    <row r="281" spans="2:8" hidden="1" x14ac:dyDescent="0.25">
      <c r="B281" s="1">
        <v>45927</v>
      </c>
      <c r="C281" t="s">
        <v>358</v>
      </c>
      <c r="D281" t="s">
        <v>80</v>
      </c>
      <c r="E281" t="s">
        <v>15</v>
      </c>
      <c r="F281">
        <v>1</v>
      </c>
      <c r="G281" t="str">
        <f>_xlfn.XLOOKUP(Prodeje[[#This Row],[Prodejce]],Obchodnici[Kód prodejce],Obchodnici[Jméno])</f>
        <v>Nebohý</v>
      </c>
      <c r="H281" t="str">
        <f>_xlfn.XLOOKUP(Prodeje[[#This Row],[Prodejce]],Obchodnici[Kód prodejce],Obchodnici[Region])</f>
        <v>Praha</v>
      </c>
    </row>
    <row r="282" spans="2:8" hidden="1" x14ac:dyDescent="0.25">
      <c r="B282" s="1">
        <v>45897</v>
      </c>
      <c r="C282" t="s">
        <v>359</v>
      </c>
      <c r="D282" t="s">
        <v>80</v>
      </c>
      <c r="E282" t="s">
        <v>9</v>
      </c>
      <c r="F282">
        <v>1</v>
      </c>
      <c r="G282" t="str">
        <f>_xlfn.XLOOKUP(Prodeje[[#This Row],[Prodejce]],Obchodnici[Kód prodejce],Obchodnici[Jméno])</f>
        <v>Bouše</v>
      </c>
      <c r="H282" t="str">
        <f>_xlfn.XLOOKUP(Prodeje[[#This Row],[Prodejce]],Obchodnici[Kód prodejce],Obchodnici[Region])</f>
        <v>Severní Čechy</v>
      </c>
    </row>
    <row r="283" spans="2:8" x14ac:dyDescent="0.25">
      <c r="B283" s="1">
        <v>45926</v>
      </c>
      <c r="C283" t="s">
        <v>360</v>
      </c>
      <c r="D283" t="s">
        <v>81</v>
      </c>
      <c r="E283" t="s">
        <v>11</v>
      </c>
      <c r="F283">
        <v>1</v>
      </c>
      <c r="G283" t="str">
        <f>_xlfn.XLOOKUP(Prodeje[[#This Row],[Prodejce]],Obchodnici[Kód prodejce],Obchodnici[Jméno])</f>
        <v>Koutník</v>
      </c>
      <c r="H283" t="str">
        <f>_xlfn.XLOOKUP(Prodeje[[#This Row],[Prodejce]],Obchodnici[Kód prodejce],Obchodnici[Region])</f>
        <v>Východní Čechy</v>
      </c>
    </row>
    <row r="284" spans="2:8" hidden="1" x14ac:dyDescent="0.25">
      <c r="B284" s="1">
        <v>45930</v>
      </c>
      <c r="C284" t="s">
        <v>361</v>
      </c>
      <c r="D284" t="s">
        <v>80</v>
      </c>
      <c r="E284" t="s">
        <v>9</v>
      </c>
      <c r="F284">
        <v>1</v>
      </c>
      <c r="G284" t="str">
        <f>_xlfn.XLOOKUP(Prodeje[[#This Row],[Prodejce]],Obchodnici[Kód prodejce],Obchodnici[Jméno])</f>
        <v>Bouše</v>
      </c>
      <c r="H284" t="str">
        <f>_xlfn.XLOOKUP(Prodeje[[#This Row],[Prodejce]],Obchodnici[Kód prodejce],Obchodnici[Region])</f>
        <v>Severní Čechy</v>
      </c>
    </row>
    <row r="285" spans="2:8" hidden="1" x14ac:dyDescent="0.25">
      <c r="B285" s="1">
        <v>45896</v>
      </c>
      <c r="C285" t="s">
        <v>208</v>
      </c>
      <c r="D285" t="s">
        <v>80</v>
      </c>
      <c r="E285" t="s">
        <v>15</v>
      </c>
      <c r="F285">
        <v>1</v>
      </c>
      <c r="G285" t="str">
        <f>_xlfn.XLOOKUP(Prodeje[[#This Row],[Prodejce]],Obchodnici[Kód prodejce],Obchodnici[Jméno])</f>
        <v>Nebohý</v>
      </c>
      <c r="H285" t="str">
        <f>_xlfn.XLOOKUP(Prodeje[[#This Row],[Prodejce]],Obchodnici[Kód prodejce],Obchodnici[Region])</f>
        <v>Praha</v>
      </c>
    </row>
    <row r="286" spans="2:8" hidden="1" x14ac:dyDescent="0.25">
      <c r="B286" s="1">
        <v>45897</v>
      </c>
      <c r="C286" t="s">
        <v>362</v>
      </c>
      <c r="D286" t="s">
        <v>82</v>
      </c>
      <c r="E286" t="s">
        <v>17</v>
      </c>
      <c r="F286">
        <v>1</v>
      </c>
      <c r="G286" t="str">
        <f>_xlfn.XLOOKUP(Prodeje[[#This Row],[Prodejce]],Obchodnici[Kód prodejce],Obchodnici[Jméno])</f>
        <v>Kovaříček</v>
      </c>
      <c r="H286" t="str">
        <f>_xlfn.XLOOKUP(Prodeje[[#This Row],[Prodejce]],Obchodnici[Kód prodejce],Obchodnici[Region])</f>
        <v>Severní Čechy</v>
      </c>
    </row>
    <row r="287" spans="2:8" hidden="1" x14ac:dyDescent="0.25">
      <c r="B287" s="1">
        <v>45864</v>
      </c>
      <c r="C287" t="s">
        <v>363</v>
      </c>
      <c r="D287" t="s">
        <v>80</v>
      </c>
      <c r="E287" t="s">
        <v>22</v>
      </c>
      <c r="F287">
        <v>1</v>
      </c>
      <c r="G287" t="str">
        <f>_xlfn.XLOOKUP(Prodeje[[#This Row],[Prodejce]],Obchodnici[Kód prodejce],Obchodnici[Jméno])</f>
        <v>Brumbla</v>
      </c>
      <c r="H287" t="str">
        <f>_xlfn.XLOOKUP(Prodeje[[#This Row],[Prodejce]],Obchodnici[Kód prodejce],Obchodnici[Region])</f>
        <v>Severní Čechy</v>
      </c>
    </row>
    <row r="288" spans="2:8" x14ac:dyDescent="0.25">
      <c r="B288" s="1">
        <v>45927</v>
      </c>
      <c r="C288" t="s">
        <v>364</v>
      </c>
      <c r="D288" t="s">
        <v>81</v>
      </c>
      <c r="E288" t="s">
        <v>9</v>
      </c>
      <c r="F288">
        <v>1</v>
      </c>
      <c r="G288" t="str">
        <f>_xlfn.XLOOKUP(Prodeje[[#This Row],[Prodejce]],Obchodnici[Kód prodejce],Obchodnici[Jméno])</f>
        <v>Bouše</v>
      </c>
      <c r="H288" t="str">
        <f>_xlfn.XLOOKUP(Prodeje[[#This Row],[Prodejce]],Obchodnici[Kód prodejce],Obchodnici[Region])</f>
        <v>Severní Čechy</v>
      </c>
    </row>
    <row r="289" spans="2:8" hidden="1" x14ac:dyDescent="0.25">
      <c r="B289" s="1">
        <v>45897</v>
      </c>
      <c r="C289" t="s">
        <v>365</v>
      </c>
      <c r="D289" t="s">
        <v>80</v>
      </c>
      <c r="E289" t="s">
        <v>18</v>
      </c>
      <c r="F289">
        <v>1</v>
      </c>
      <c r="G289" t="str">
        <f>_xlfn.XLOOKUP(Prodeje[[#This Row],[Prodejce]],Obchodnici[Kód prodejce],Obchodnici[Jméno])</f>
        <v>Holý</v>
      </c>
      <c r="H289" t="str">
        <f>_xlfn.XLOOKUP(Prodeje[[#This Row],[Prodejce]],Obchodnici[Kód prodejce],Obchodnici[Region])</f>
        <v>Jižní Čechy</v>
      </c>
    </row>
    <row r="290" spans="2:8" x14ac:dyDescent="0.25">
      <c r="B290" s="1">
        <v>45926</v>
      </c>
      <c r="C290" t="s">
        <v>366</v>
      </c>
      <c r="D290" t="s">
        <v>81</v>
      </c>
      <c r="E290" t="s">
        <v>17</v>
      </c>
      <c r="F290">
        <v>1</v>
      </c>
      <c r="G290" t="str">
        <f>_xlfn.XLOOKUP(Prodeje[[#This Row],[Prodejce]],Obchodnici[Kód prodejce],Obchodnici[Jméno])</f>
        <v>Kovaříček</v>
      </c>
      <c r="H290" t="str">
        <f>_xlfn.XLOOKUP(Prodeje[[#This Row],[Prodejce]],Obchodnici[Kód prodejce],Obchodnici[Region])</f>
        <v>Severní Čechy</v>
      </c>
    </row>
    <row r="291" spans="2:8" hidden="1" x14ac:dyDescent="0.25">
      <c r="B291" s="1">
        <v>45899</v>
      </c>
      <c r="C291" t="s">
        <v>367</v>
      </c>
      <c r="D291" t="s">
        <v>80</v>
      </c>
      <c r="E291" t="s">
        <v>24</v>
      </c>
      <c r="F291">
        <v>1</v>
      </c>
      <c r="G291" t="str">
        <f>_xlfn.XLOOKUP(Prodeje[[#This Row],[Prodejce]],Obchodnici[Kód prodejce],Obchodnici[Jméno])</f>
        <v>Vonková</v>
      </c>
      <c r="H291" t="str">
        <f>_xlfn.XLOOKUP(Prodeje[[#This Row],[Prodejce]],Obchodnici[Kód prodejce],Obchodnici[Region])</f>
        <v>Praha</v>
      </c>
    </row>
    <row r="292" spans="2:8" hidden="1" x14ac:dyDescent="0.25">
      <c r="B292" s="1">
        <v>45897</v>
      </c>
      <c r="C292" t="s">
        <v>368</v>
      </c>
      <c r="D292" t="s">
        <v>80</v>
      </c>
      <c r="E292" t="s">
        <v>21</v>
      </c>
      <c r="F292">
        <v>1</v>
      </c>
      <c r="G292" t="str">
        <f>_xlfn.XLOOKUP(Prodeje[[#This Row],[Prodejce]],Obchodnici[Kód prodejce],Obchodnici[Jméno])</f>
        <v>Nováček</v>
      </c>
      <c r="H292" t="str">
        <f>_xlfn.XLOOKUP(Prodeje[[#This Row],[Prodejce]],Obchodnici[Kód prodejce],Obchodnici[Region])</f>
        <v>Severní Čechy</v>
      </c>
    </row>
    <row r="293" spans="2:8" hidden="1" x14ac:dyDescent="0.25">
      <c r="B293" s="1">
        <v>45899</v>
      </c>
      <c r="C293" t="s">
        <v>369</v>
      </c>
      <c r="D293" t="s">
        <v>80</v>
      </c>
      <c r="E293" t="s">
        <v>22</v>
      </c>
      <c r="F293">
        <v>1</v>
      </c>
      <c r="G293" t="str">
        <f>_xlfn.XLOOKUP(Prodeje[[#This Row],[Prodejce]],Obchodnici[Kód prodejce],Obchodnici[Jméno])</f>
        <v>Brumbla</v>
      </c>
      <c r="H293" t="str">
        <f>_xlfn.XLOOKUP(Prodeje[[#This Row],[Prodejce]],Obchodnici[Kód prodejce],Obchodnici[Region])</f>
        <v>Severní Čechy</v>
      </c>
    </row>
    <row r="294" spans="2:8" hidden="1" x14ac:dyDescent="0.25">
      <c r="B294" s="1">
        <v>45899</v>
      </c>
      <c r="C294" t="s">
        <v>370</v>
      </c>
      <c r="D294" t="s">
        <v>80</v>
      </c>
      <c r="E294" t="s">
        <v>9</v>
      </c>
      <c r="F294">
        <v>2</v>
      </c>
      <c r="G294" t="str">
        <f>_xlfn.XLOOKUP(Prodeje[[#This Row],[Prodejce]],Obchodnici[Kód prodejce],Obchodnici[Jméno])</f>
        <v>Bouše</v>
      </c>
      <c r="H294" t="str">
        <f>_xlfn.XLOOKUP(Prodeje[[#This Row],[Prodejce]],Obchodnici[Kód prodejce],Obchodnici[Region])</f>
        <v>Severní Čechy</v>
      </c>
    </row>
    <row r="295" spans="2:8" hidden="1" x14ac:dyDescent="0.25">
      <c r="B295" s="1">
        <v>45899</v>
      </c>
      <c r="C295" t="s">
        <v>371</v>
      </c>
      <c r="D295" t="s">
        <v>80</v>
      </c>
      <c r="E295" s="6" t="s">
        <v>24</v>
      </c>
      <c r="F295">
        <v>1</v>
      </c>
      <c r="G295" t="str">
        <f>_xlfn.XLOOKUP(Prodeje[[#This Row],[Prodejce]],Obchodnici[Kód prodejce],Obchodnici[Jméno])</f>
        <v>Vonková</v>
      </c>
      <c r="H295" t="str">
        <f>_xlfn.XLOOKUP(Prodeje[[#This Row],[Prodejce]],Obchodnici[Kód prodejce],Obchodnici[Region])</f>
        <v>Praha</v>
      </c>
    </row>
    <row r="296" spans="2:8" hidden="1" x14ac:dyDescent="0.25">
      <c r="B296" s="1">
        <v>45868</v>
      </c>
      <c r="C296" t="s">
        <v>372</v>
      </c>
      <c r="D296" t="s">
        <v>80</v>
      </c>
      <c r="E296" t="s">
        <v>21</v>
      </c>
      <c r="F296">
        <v>2</v>
      </c>
      <c r="G296" t="str">
        <f>_xlfn.XLOOKUP(Prodeje[[#This Row],[Prodejce]],Obchodnici[Kód prodejce],Obchodnici[Jméno])</f>
        <v>Nováček</v>
      </c>
      <c r="H296" t="str">
        <f>_xlfn.XLOOKUP(Prodeje[[#This Row],[Prodejce]],Obchodnici[Kód prodejce],Obchodnici[Region])</f>
        <v>Severní Čechy</v>
      </c>
    </row>
    <row r="297" spans="2:8" hidden="1" x14ac:dyDescent="0.25">
      <c r="B297" s="1">
        <v>45897</v>
      </c>
      <c r="C297" t="s">
        <v>373</v>
      </c>
      <c r="D297" t="s">
        <v>80</v>
      </c>
      <c r="E297" t="s">
        <v>22</v>
      </c>
      <c r="F297">
        <v>1</v>
      </c>
      <c r="G297" t="str">
        <f>_xlfn.XLOOKUP(Prodeje[[#This Row],[Prodejce]],Obchodnici[Kód prodejce],Obchodnici[Jméno])</f>
        <v>Brumbla</v>
      </c>
      <c r="H297" t="str">
        <f>_xlfn.XLOOKUP(Prodeje[[#This Row],[Prodejce]],Obchodnici[Kód prodejce],Obchodnici[Region])</f>
        <v>Severní Čechy</v>
      </c>
    </row>
    <row r="298" spans="2:8" hidden="1" x14ac:dyDescent="0.25">
      <c r="B298" s="1">
        <v>45922</v>
      </c>
      <c r="C298" t="s">
        <v>374</v>
      </c>
      <c r="D298" t="s">
        <v>80</v>
      </c>
      <c r="E298" t="s">
        <v>11</v>
      </c>
      <c r="F298">
        <v>1</v>
      </c>
      <c r="G298" t="str">
        <f>_xlfn.XLOOKUP(Prodeje[[#This Row],[Prodejce]],Obchodnici[Kód prodejce],Obchodnici[Jméno])</f>
        <v>Koutník</v>
      </c>
      <c r="H298" t="str">
        <f>_xlfn.XLOOKUP(Prodeje[[#This Row],[Prodejce]],Obchodnici[Kód prodejce],Obchodnici[Region])</f>
        <v>Východní Čechy</v>
      </c>
    </row>
    <row r="299" spans="2:8" hidden="1" x14ac:dyDescent="0.25">
      <c r="B299" s="1">
        <v>45868</v>
      </c>
      <c r="C299" t="s">
        <v>375</v>
      </c>
      <c r="D299" t="s">
        <v>80</v>
      </c>
      <c r="E299" t="s">
        <v>26</v>
      </c>
      <c r="F299">
        <v>2</v>
      </c>
      <c r="G299" t="str">
        <f>_xlfn.XLOOKUP(Prodeje[[#This Row],[Prodejce]],Obchodnici[Kód prodejce],Obchodnici[Jméno])</f>
        <v>Adamek</v>
      </c>
      <c r="H299" t="str">
        <f>_xlfn.XLOOKUP(Prodeje[[#This Row],[Prodejce]],Obchodnici[Kód prodejce],Obchodnici[Region])</f>
        <v>Jižní Čechy</v>
      </c>
    </row>
    <row r="300" spans="2:8" hidden="1" x14ac:dyDescent="0.25">
      <c r="B300" s="1">
        <v>45897</v>
      </c>
      <c r="C300" t="s">
        <v>376</v>
      </c>
      <c r="D300" t="s">
        <v>80</v>
      </c>
      <c r="E300" t="s">
        <v>21</v>
      </c>
      <c r="F300">
        <v>1</v>
      </c>
      <c r="G300" t="str">
        <f>_xlfn.XLOOKUP(Prodeje[[#This Row],[Prodejce]],Obchodnici[Kód prodejce],Obchodnici[Jméno])</f>
        <v>Nováček</v>
      </c>
      <c r="H300" t="str">
        <f>_xlfn.XLOOKUP(Prodeje[[#This Row],[Prodejce]],Obchodnici[Kód prodejce],Obchodnici[Region])</f>
        <v>Severní Čechy</v>
      </c>
    </row>
    <row r="301" spans="2:8" hidden="1" x14ac:dyDescent="0.25">
      <c r="B301" s="1">
        <v>45896</v>
      </c>
      <c r="C301" t="s">
        <v>377</v>
      </c>
      <c r="D301" t="s">
        <v>80</v>
      </c>
      <c r="E301" t="s">
        <v>22</v>
      </c>
      <c r="F301">
        <v>1</v>
      </c>
      <c r="G301" t="str">
        <f>_xlfn.XLOOKUP(Prodeje[[#This Row],[Prodejce]],Obchodnici[Kód prodejce],Obchodnici[Jméno])</f>
        <v>Brumbla</v>
      </c>
      <c r="H301" t="str">
        <f>_xlfn.XLOOKUP(Prodeje[[#This Row],[Prodejce]],Obchodnici[Kód prodejce],Obchodnici[Region])</f>
        <v>Severní Čechy</v>
      </c>
    </row>
    <row r="302" spans="2:8" hidden="1" x14ac:dyDescent="0.25">
      <c r="B302" s="1">
        <v>45922</v>
      </c>
      <c r="C302" t="s">
        <v>378</v>
      </c>
      <c r="D302" t="s">
        <v>80</v>
      </c>
      <c r="E302" t="s">
        <v>22</v>
      </c>
      <c r="F302">
        <v>1</v>
      </c>
      <c r="G302" t="str">
        <f>_xlfn.XLOOKUP(Prodeje[[#This Row],[Prodejce]],Obchodnici[Kód prodejce],Obchodnici[Jméno])</f>
        <v>Brumbla</v>
      </c>
      <c r="H302" t="str">
        <f>_xlfn.XLOOKUP(Prodeje[[#This Row],[Prodejce]],Obchodnici[Kód prodejce],Obchodnici[Region])</f>
        <v>Severní Čechy</v>
      </c>
    </row>
    <row r="303" spans="2:8" hidden="1" x14ac:dyDescent="0.25">
      <c r="B303" s="1">
        <v>45899</v>
      </c>
      <c r="C303" t="s">
        <v>379</v>
      </c>
      <c r="D303" t="s">
        <v>80</v>
      </c>
      <c r="E303" t="s">
        <v>21</v>
      </c>
      <c r="F303">
        <v>1</v>
      </c>
      <c r="G303" t="str">
        <f>_xlfn.XLOOKUP(Prodeje[[#This Row],[Prodejce]],Obchodnici[Kód prodejce],Obchodnici[Jméno])</f>
        <v>Nováček</v>
      </c>
      <c r="H303" t="str">
        <f>_xlfn.XLOOKUP(Prodeje[[#This Row],[Prodejce]],Obchodnici[Kód prodejce],Obchodnici[Region])</f>
        <v>Severní Čechy</v>
      </c>
    </row>
    <row r="304" spans="2:8" hidden="1" x14ac:dyDescent="0.25">
      <c r="B304" s="1">
        <v>45897</v>
      </c>
      <c r="C304" t="s">
        <v>380</v>
      </c>
      <c r="D304" t="s">
        <v>80</v>
      </c>
      <c r="E304" t="s">
        <v>22</v>
      </c>
      <c r="F304">
        <v>1</v>
      </c>
      <c r="G304" t="str">
        <f>_xlfn.XLOOKUP(Prodeje[[#This Row],[Prodejce]],Obchodnici[Kód prodejce],Obchodnici[Jméno])</f>
        <v>Brumbla</v>
      </c>
      <c r="H304" t="str">
        <f>_xlfn.XLOOKUP(Prodeje[[#This Row],[Prodejce]],Obchodnici[Kód prodejce],Obchodnici[Region])</f>
        <v>Severní Čechy</v>
      </c>
    </row>
    <row r="305" spans="2:8" x14ac:dyDescent="0.25">
      <c r="B305" s="1">
        <v>45927</v>
      </c>
      <c r="C305" t="s">
        <v>381</v>
      </c>
      <c r="D305" t="s">
        <v>81</v>
      </c>
      <c r="E305" t="s">
        <v>21</v>
      </c>
      <c r="F305">
        <v>1</v>
      </c>
      <c r="G305" t="str">
        <f>_xlfn.XLOOKUP(Prodeje[[#This Row],[Prodejce]],Obchodnici[Kód prodejce],Obchodnici[Jméno])</f>
        <v>Nováček</v>
      </c>
      <c r="H305" t="str">
        <f>_xlfn.XLOOKUP(Prodeje[[#This Row],[Prodejce]],Obchodnici[Kód prodejce],Obchodnici[Region])</f>
        <v>Severní Čechy</v>
      </c>
    </row>
    <row r="306" spans="2:8" hidden="1" x14ac:dyDescent="0.25">
      <c r="B306" s="1">
        <v>45896</v>
      </c>
      <c r="C306" t="s">
        <v>382</v>
      </c>
      <c r="D306" t="s">
        <v>80</v>
      </c>
      <c r="E306" t="s">
        <v>26</v>
      </c>
      <c r="F306">
        <v>1</v>
      </c>
      <c r="G306" t="str">
        <f>_xlfn.XLOOKUP(Prodeje[[#This Row],[Prodejce]],Obchodnici[Kód prodejce],Obchodnici[Jméno])</f>
        <v>Adamek</v>
      </c>
      <c r="H306" t="str">
        <f>_xlfn.XLOOKUP(Prodeje[[#This Row],[Prodejce]],Obchodnici[Kód prodejce],Obchodnici[Region])</f>
        <v>Jižní Čechy</v>
      </c>
    </row>
    <row r="307" spans="2:8" x14ac:dyDescent="0.25">
      <c r="B307" s="1">
        <v>45928</v>
      </c>
      <c r="C307" t="s">
        <v>383</v>
      </c>
      <c r="D307" t="s">
        <v>81</v>
      </c>
      <c r="E307" t="s">
        <v>11</v>
      </c>
      <c r="F307">
        <v>1</v>
      </c>
      <c r="G307" t="str">
        <f>_xlfn.XLOOKUP(Prodeje[[#This Row],[Prodejce]],Obchodnici[Kód prodejce],Obchodnici[Jméno])</f>
        <v>Koutník</v>
      </c>
      <c r="H307" t="str">
        <f>_xlfn.XLOOKUP(Prodeje[[#This Row],[Prodejce]],Obchodnici[Kód prodejce],Obchodnici[Region])</f>
        <v>Východní Čechy</v>
      </c>
    </row>
    <row r="308" spans="2:8" hidden="1" x14ac:dyDescent="0.25">
      <c r="B308" s="1">
        <v>45895</v>
      </c>
      <c r="C308" t="s">
        <v>384</v>
      </c>
      <c r="D308" t="s">
        <v>80</v>
      </c>
      <c r="E308" t="s">
        <v>17</v>
      </c>
      <c r="F308">
        <v>1</v>
      </c>
      <c r="G308" t="str">
        <f>_xlfn.XLOOKUP(Prodeje[[#This Row],[Prodejce]],Obchodnici[Kód prodejce],Obchodnici[Jméno])</f>
        <v>Kovaříček</v>
      </c>
      <c r="H308" t="str">
        <f>_xlfn.XLOOKUP(Prodeje[[#This Row],[Prodejce]],Obchodnici[Kód prodejce],Obchodnici[Region])</f>
        <v>Severní Čechy</v>
      </c>
    </row>
    <row r="309" spans="2:8" hidden="1" x14ac:dyDescent="0.25">
      <c r="B309" s="1">
        <v>45924</v>
      </c>
      <c r="C309" t="s">
        <v>385</v>
      </c>
      <c r="D309" t="s">
        <v>80</v>
      </c>
      <c r="E309" t="s">
        <v>11</v>
      </c>
      <c r="F309">
        <v>1</v>
      </c>
      <c r="G309" t="str">
        <f>_xlfn.XLOOKUP(Prodeje[[#This Row],[Prodejce]],Obchodnici[Kód prodejce],Obchodnici[Jméno])</f>
        <v>Koutník</v>
      </c>
      <c r="H309" t="str">
        <f>_xlfn.XLOOKUP(Prodeje[[#This Row],[Prodejce]],Obchodnici[Kód prodejce],Obchodnici[Region])</f>
        <v>Východní Čechy</v>
      </c>
    </row>
    <row r="310" spans="2:8" x14ac:dyDescent="0.25">
      <c r="B310" s="1">
        <v>45922</v>
      </c>
      <c r="C310" t="s">
        <v>386</v>
      </c>
      <c r="D310" t="s">
        <v>81</v>
      </c>
      <c r="E310" t="s">
        <v>14</v>
      </c>
      <c r="F310">
        <v>2</v>
      </c>
      <c r="G310" t="str">
        <f>_xlfn.XLOOKUP(Prodeje[[#This Row],[Prodejce]],Obchodnici[Kód prodejce],Obchodnici[Jméno])</f>
        <v>Sklenář</v>
      </c>
      <c r="H310" t="str">
        <f>_xlfn.XLOOKUP(Prodeje[[#This Row],[Prodejce]],Obchodnici[Kód prodejce],Obchodnici[Region])</f>
        <v>Praha</v>
      </c>
    </row>
    <row r="311" spans="2:8" hidden="1" x14ac:dyDescent="0.25">
      <c r="B311" s="1">
        <v>45897</v>
      </c>
      <c r="C311" t="s">
        <v>387</v>
      </c>
      <c r="D311" t="s">
        <v>80</v>
      </c>
      <c r="E311" t="s">
        <v>22</v>
      </c>
      <c r="F311">
        <v>1</v>
      </c>
      <c r="G311" t="str">
        <f>_xlfn.XLOOKUP(Prodeje[[#This Row],[Prodejce]],Obchodnici[Kód prodejce],Obchodnici[Jméno])</f>
        <v>Brumbla</v>
      </c>
      <c r="H311" t="str">
        <f>_xlfn.XLOOKUP(Prodeje[[#This Row],[Prodejce]],Obchodnici[Kód prodejce],Obchodnici[Region])</f>
        <v>Severní Čechy</v>
      </c>
    </row>
    <row r="312" spans="2:8" hidden="1" x14ac:dyDescent="0.25">
      <c r="B312" s="1">
        <v>45898</v>
      </c>
      <c r="C312" t="s">
        <v>388</v>
      </c>
      <c r="D312" t="s">
        <v>80</v>
      </c>
      <c r="E312" t="s">
        <v>15</v>
      </c>
      <c r="F312">
        <v>1</v>
      </c>
      <c r="G312" t="str">
        <f>_xlfn.XLOOKUP(Prodeje[[#This Row],[Prodejce]],Obchodnici[Kód prodejce],Obchodnici[Jméno])</f>
        <v>Nebohý</v>
      </c>
      <c r="H312" t="str">
        <f>_xlfn.XLOOKUP(Prodeje[[#This Row],[Prodejce]],Obchodnici[Kód prodejce],Obchodnici[Region])</f>
        <v>Praha</v>
      </c>
    </row>
    <row r="313" spans="2:8" hidden="1" x14ac:dyDescent="0.25">
      <c r="B313" s="1">
        <v>45898</v>
      </c>
      <c r="C313" t="s">
        <v>389</v>
      </c>
      <c r="D313" t="s">
        <v>80</v>
      </c>
      <c r="E313" t="s">
        <v>18</v>
      </c>
      <c r="F313">
        <v>1</v>
      </c>
      <c r="G313" t="str">
        <f>_xlfn.XLOOKUP(Prodeje[[#This Row],[Prodejce]],Obchodnici[Kód prodejce],Obchodnici[Jméno])</f>
        <v>Holý</v>
      </c>
      <c r="H313" t="str">
        <f>_xlfn.XLOOKUP(Prodeje[[#This Row],[Prodejce]],Obchodnici[Kód prodejce],Obchodnici[Region])</f>
        <v>Jižní Čechy</v>
      </c>
    </row>
    <row r="314" spans="2:8" hidden="1" x14ac:dyDescent="0.25">
      <c r="B314" s="1">
        <v>45899</v>
      </c>
      <c r="C314" t="s">
        <v>390</v>
      </c>
      <c r="D314" t="s">
        <v>80</v>
      </c>
      <c r="E314" t="s">
        <v>24</v>
      </c>
      <c r="F314">
        <v>1</v>
      </c>
      <c r="G314" t="str">
        <f>_xlfn.XLOOKUP(Prodeje[[#This Row],[Prodejce]],Obchodnici[Kód prodejce],Obchodnici[Jméno])</f>
        <v>Vonková</v>
      </c>
      <c r="H314" t="str">
        <f>_xlfn.XLOOKUP(Prodeje[[#This Row],[Prodejce]],Obchodnici[Kód prodejce],Obchodnici[Region])</f>
        <v>Praha</v>
      </c>
    </row>
    <row r="315" spans="2:8" hidden="1" x14ac:dyDescent="0.25">
      <c r="B315" s="1">
        <v>45901</v>
      </c>
      <c r="C315" t="s">
        <v>391</v>
      </c>
      <c r="D315" t="s">
        <v>80</v>
      </c>
      <c r="E315" t="s">
        <v>21</v>
      </c>
      <c r="F315">
        <v>1</v>
      </c>
      <c r="G315" t="str">
        <f>_xlfn.XLOOKUP(Prodeje[[#This Row],[Prodejce]],Obchodnici[Kód prodejce],Obchodnici[Jméno])</f>
        <v>Nováček</v>
      </c>
      <c r="H315" t="str">
        <f>_xlfn.XLOOKUP(Prodeje[[#This Row],[Prodejce]],Obchodnici[Kód prodejce],Obchodnici[Region])</f>
        <v>Severní Čechy</v>
      </c>
    </row>
    <row r="316" spans="2:8" hidden="1" x14ac:dyDescent="0.25">
      <c r="B316" s="1">
        <v>45902</v>
      </c>
      <c r="C316" t="s">
        <v>392</v>
      </c>
      <c r="D316" t="s">
        <v>80</v>
      </c>
      <c r="E316" t="s">
        <v>24</v>
      </c>
      <c r="F316">
        <v>1</v>
      </c>
      <c r="G316" t="str">
        <f>_xlfn.XLOOKUP(Prodeje[[#This Row],[Prodejce]],Obchodnici[Kód prodejce],Obchodnici[Jméno])</f>
        <v>Vonková</v>
      </c>
      <c r="H316" t="str">
        <f>_xlfn.XLOOKUP(Prodeje[[#This Row],[Prodejce]],Obchodnici[Kód prodejce],Obchodnici[Region])</f>
        <v>Praha</v>
      </c>
    </row>
    <row r="317" spans="2:8" x14ac:dyDescent="0.25">
      <c r="B317" s="1">
        <v>45906</v>
      </c>
      <c r="C317" t="s">
        <v>393</v>
      </c>
      <c r="D317" t="s">
        <v>81</v>
      </c>
      <c r="E317" t="s">
        <v>26</v>
      </c>
      <c r="F317">
        <v>1</v>
      </c>
      <c r="G317" t="str">
        <f>_xlfn.XLOOKUP(Prodeje[[#This Row],[Prodejce]],Obchodnici[Kód prodejce],Obchodnici[Jméno])</f>
        <v>Adamek</v>
      </c>
      <c r="H317" t="str">
        <f>_xlfn.XLOOKUP(Prodeje[[#This Row],[Prodejce]],Obchodnici[Kód prodejce],Obchodnici[Region])</f>
        <v>Jižní Čechy</v>
      </c>
    </row>
    <row r="318" spans="2:8" hidden="1" x14ac:dyDescent="0.25">
      <c r="B318" s="1">
        <v>45841</v>
      </c>
      <c r="C318" t="s">
        <v>394</v>
      </c>
      <c r="D318" t="s">
        <v>80</v>
      </c>
      <c r="E318" t="s">
        <v>26</v>
      </c>
      <c r="F318">
        <v>1</v>
      </c>
      <c r="G318" t="str">
        <f>_xlfn.XLOOKUP(Prodeje[[#This Row],[Prodejce]],Obchodnici[Kód prodejce],Obchodnici[Jméno])</f>
        <v>Adamek</v>
      </c>
      <c r="H318" t="str">
        <f>_xlfn.XLOOKUP(Prodeje[[#This Row],[Prodejce]],Obchodnici[Kód prodejce],Obchodnici[Region])</f>
        <v>Jižní Čechy</v>
      </c>
    </row>
    <row r="319" spans="2:8" hidden="1" x14ac:dyDescent="0.25">
      <c r="B319" s="1">
        <v>45842</v>
      </c>
      <c r="C319" t="s">
        <v>395</v>
      </c>
      <c r="D319" t="s">
        <v>80</v>
      </c>
      <c r="E319" t="s">
        <v>24</v>
      </c>
      <c r="F319">
        <v>1</v>
      </c>
      <c r="G319" t="str">
        <f>_xlfn.XLOOKUP(Prodeje[[#This Row],[Prodejce]],Obchodnici[Kód prodejce],Obchodnici[Jméno])</f>
        <v>Vonková</v>
      </c>
      <c r="H319" t="str">
        <f>_xlfn.XLOOKUP(Prodeje[[#This Row],[Prodejce]],Obchodnici[Kód prodejce],Obchodnici[Region])</f>
        <v>Praha</v>
      </c>
    </row>
    <row r="320" spans="2:8" hidden="1" x14ac:dyDescent="0.25">
      <c r="B320" s="1">
        <v>45906</v>
      </c>
      <c r="C320" t="s">
        <v>396</v>
      </c>
      <c r="D320" t="s">
        <v>80</v>
      </c>
      <c r="E320" t="s">
        <v>24</v>
      </c>
      <c r="F320">
        <v>1</v>
      </c>
      <c r="G320" t="str">
        <f>_xlfn.XLOOKUP(Prodeje[[#This Row],[Prodejce]],Obchodnici[Kód prodejce],Obchodnici[Jméno])</f>
        <v>Vonková</v>
      </c>
      <c r="H320" t="str">
        <f>_xlfn.XLOOKUP(Prodeje[[#This Row],[Prodejce]],Obchodnici[Kód prodejce],Obchodnici[Region])</f>
        <v>Praha</v>
      </c>
    </row>
    <row r="321" spans="2:8" hidden="1" x14ac:dyDescent="0.25">
      <c r="B321" s="1">
        <v>45902</v>
      </c>
      <c r="C321" t="s">
        <v>397</v>
      </c>
      <c r="D321" t="s">
        <v>80</v>
      </c>
      <c r="E321" t="s">
        <v>26</v>
      </c>
      <c r="F321">
        <v>1</v>
      </c>
      <c r="G321" t="str">
        <f>_xlfn.XLOOKUP(Prodeje[[#This Row],[Prodejce]],Obchodnici[Kód prodejce],Obchodnici[Jméno])</f>
        <v>Adamek</v>
      </c>
      <c r="H321" t="str">
        <f>_xlfn.XLOOKUP(Prodeje[[#This Row],[Prodejce]],Obchodnici[Kód prodejce],Obchodnici[Region])</f>
        <v>Jižní Čechy</v>
      </c>
    </row>
    <row r="322" spans="2:8" hidden="1" x14ac:dyDescent="0.25">
      <c r="B322" s="1">
        <v>45871</v>
      </c>
      <c r="C322" t="s">
        <v>398</v>
      </c>
      <c r="D322" t="s">
        <v>80</v>
      </c>
      <c r="E322" t="s">
        <v>9</v>
      </c>
      <c r="F322">
        <v>1</v>
      </c>
      <c r="G322" t="str">
        <f>_xlfn.XLOOKUP(Prodeje[[#This Row],[Prodejce]],Obchodnici[Kód prodejce],Obchodnici[Jméno])</f>
        <v>Bouše</v>
      </c>
      <c r="H322" t="str">
        <f>_xlfn.XLOOKUP(Prodeje[[#This Row],[Prodejce]],Obchodnici[Kód prodejce],Obchodnici[Region])</f>
        <v>Severní Čechy</v>
      </c>
    </row>
    <row r="323" spans="2:8" x14ac:dyDescent="0.25">
      <c r="B323" s="1"/>
      <c r="F323">
        <f>SUBTOTAL(109,Prodeje[Ks])</f>
        <v>37</v>
      </c>
      <c r="G323" s="13"/>
      <c r="H323" s="13"/>
    </row>
  </sheetData>
  <sortState xmlns:xlrd2="http://schemas.microsoft.com/office/spreadsheetml/2017/richdata2" ref="B4:F353">
    <sortCondition ref="C4:C353"/>
  </sortState>
  <phoneticPr fontId="1" type="noConversion"/>
  <conditionalFormatting sqref="C1:C1048576">
    <cfRule type="duplicateValues" dxfId="3" priority="2"/>
    <cfRule type="duplicateValues" dxfId="4" priority="1"/>
  </conditionalFormatting>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5B74-2C64-4193-8A3E-0D74305F1DDF}">
  <dimension ref="A2:E46"/>
  <sheetViews>
    <sheetView workbookViewId="0">
      <selection activeCell="C5" sqref="C5:C44"/>
    </sheetView>
  </sheetViews>
  <sheetFormatPr defaultRowHeight="15" x14ac:dyDescent="0.25"/>
  <cols>
    <col min="1" max="1" width="14.85546875" customWidth="1"/>
    <col min="2" max="2" width="13.5703125" customWidth="1"/>
    <col min="3" max="3" width="27.7109375" customWidth="1"/>
    <col min="4" max="4" width="10.140625" bestFit="1" customWidth="1"/>
    <col min="5" max="5" width="22.5703125" bestFit="1" customWidth="1"/>
  </cols>
  <sheetData>
    <row r="2" spans="1:5" x14ac:dyDescent="0.25">
      <c r="A2" t="s">
        <v>28</v>
      </c>
      <c r="B2" t="s">
        <v>29</v>
      </c>
      <c r="C2" t="s">
        <v>30</v>
      </c>
      <c r="D2" t="s">
        <v>408</v>
      </c>
      <c r="E2" t="s">
        <v>436</v>
      </c>
    </row>
    <row r="3" spans="1:5" hidden="1" x14ac:dyDescent="0.25">
      <c r="A3" s="4" t="s">
        <v>18</v>
      </c>
      <c r="B3" s="3" t="s">
        <v>45</v>
      </c>
      <c r="C3" t="s">
        <v>38</v>
      </c>
      <c r="D3" s="1">
        <v>45351</v>
      </c>
      <c r="E3" t="b">
        <f>Obchodnici[[#This Row],[nástup]]&lt;=DATE(2025,9,1)</f>
        <v>1</v>
      </c>
    </row>
    <row r="4" spans="1:5" hidden="1" x14ac:dyDescent="0.25">
      <c r="A4" s="4" t="s">
        <v>67</v>
      </c>
      <c r="B4" s="3" t="s">
        <v>402</v>
      </c>
      <c r="C4" t="s">
        <v>34</v>
      </c>
      <c r="D4" s="1">
        <v>45391</v>
      </c>
      <c r="E4" t="b">
        <f>Obchodnici[[#This Row],[nástup]]&lt;=DATE(2025,9,1)</f>
        <v>1</v>
      </c>
    </row>
    <row r="5" spans="1:5" x14ac:dyDescent="0.25">
      <c r="A5" s="4" t="s">
        <v>23</v>
      </c>
      <c r="B5" s="3" t="s">
        <v>53</v>
      </c>
      <c r="C5" t="s">
        <v>32</v>
      </c>
      <c r="D5" s="1">
        <v>45407</v>
      </c>
      <c r="E5" t="b">
        <f>Obchodnici[[#This Row],[nástup]]&lt;=DATE(2025,9,1)</f>
        <v>1</v>
      </c>
    </row>
    <row r="6" spans="1:5" x14ac:dyDescent="0.25">
      <c r="A6" s="4" t="s">
        <v>12</v>
      </c>
      <c r="B6" s="3" t="s">
        <v>407</v>
      </c>
      <c r="C6" t="s">
        <v>32</v>
      </c>
      <c r="D6" s="1">
        <v>45449</v>
      </c>
      <c r="E6" t="b">
        <f>Obchodnici[[#This Row],[nástup]]&lt;=DATE(2025,9,1)</f>
        <v>1</v>
      </c>
    </row>
    <row r="7" spans="1:5" x14ac:dyDescent="0.25">
      <c r="A7" s="14" t="s">
        <v>7</v>
      </c>
      <c r="B7" s="3" t="s">
        <v>35</v>
      </c>
      <c r="C7" t="s">
        <v>32</v>
      </c>
      <c r="D7" s="1">
        <v>45471</v>
      </c>
      <c r="E7" t="b">
        <f>Obchodnici[[#This Row],[nástup]]&lt;=DATE(2025,9,1)</f>
        <v>1</v>
      </c>
    </row>
    <row r="8" spans="1:5" hidden="1" x14ac:dyDescent="0.25">
      <c r="A8" s="4" t="s">
        <v>43</v>
      </c>
      <c r="B8" s="3" t="s">
        <v>44</v>
      </c>
      <c r="C8" t="s">
        <v>38</v>
      </c>
      <c r="D8" s="1">
        <v>45474</v>
      </c>
      <c r="E8" t="b">
        <f>Obchodnici[[#This Row],[nástup]]&lt;=DATE(2025,9,1)</f>
        <v>1</v>
      </c>
    </row>
    <row r="9" spans="1:5" hidden="1" x14ac:dyDescent="0.25">
      <c r="A9" s="14" t="s">
        <v>17</v>
      </c>
      <c r="B9" s="3" t="s">
        <v>42</v>
      </c>
      <c r="C9" t="s">
        <v>34</v>
      </c>
      <c r="D9" s="1">
        <v>45535</v>
      </c>
      <c r="E9" t="b">
        <f>Obchodnici[[#This Row],[nástup]]&lt;=DATE(2025,9,1)</f>
        <v>1</v>
      </c>
    </row>
    <row r="10" spans="1:5" hidden="1" x14ac:dyDescent="0.25">
      <c r="A10" s="4" t="s">
        <v>6</v>
      </c>
      <c r="B10" s="3" t="s">
        <v>33</v>
      </c>
      <c r="C10" t="s">
        <v>34</v>
      </c>
      <c r="D10" s="1">
        <v>45536</v>
      </c>
      <c r="E10" t="b">
        <f>Obchodnici[[#This Row],[nástup]]&lt;=DATE(2025,9,1)</f>
        <v>1</v>
      </c>
    </row>
    <row r="11" spans="1:5" x14ac:dyDescent="0.25">
      <c r="A11" s="4" t="s">
        <v>13</v>
      </c>
      <c r="B11" s="3" t="s">
        <v>400</v>
      </c>
      <c r="C11" t="s">
        <v>32</v>
      </c>
      <c r="D11" s="1">
        <v>45536</v>
      </c>
      <c r="E11" t="b">
        <f>Obchodnici[[#This Row],[nástup]]&lt;=DATE(2025,9,1)</f>
        <v>1</v>
      </c>
    </row>
    <row r="12" spans="1:5" x14ac:dyDescent="0.25">
      <c r="A12" s="4" t="s">
        <v>14</v>
      </c>
      <c r="B12" s="3" t="s">
        <v>404</v>
      </c>
      <c r="C12" t="s">
        <v>32</v>
      </c>
      <c r="D12" s="1">
        <v>45536</v>
      </c>
      <c r="E12" t="b">
        <f>Obchodnici[[#This Row],[nástup]]&lt;=DATE(2025,9,1)</f>
        <v>1</v>
      </c>
    </row>
    <row r="13" spans="1:5" hidden="1" x14ac:dyDescent="0.25">
      <c r="A13" s="4" t="s">
        <v>21</v>
      </c>
      <c r="B13" s="3" t="s">
        <v>50</v>
      </c>
      <c r="C13" t="s">
        <v>34</v>
      </c>
      <c r="D13" s="1">
        <v>45536</v>
      </c>
      <c r="E13" t="b">
        <f>Obchodnici[[#This Row],[nástup]]&lt;=DATE(2025,9,1)</f>
        <v>1</v>
      </c>
    </row>
    <row r="14" spans="1:5" hidden="1" x14ac:dyDescent="0.25">
      <c r="A14" s="14" t="s">
        <v>9</v>
      </c>
      <c r="B14" s="3" t="s">
        <v>40</v>
      </c>
      <c r="C14" t="s">
        <v>34</v>
      </c>
      <c r="D14" s="1">
        <v>45537</v>
      </c>
      <c r="E14" t="b">
        <f>Obchodnici[[#This Row],[nástup]]&lt;=DATE(2025,9,1)</f>
        <v>1</v>
      </c>
    </row>
    <row r="15" spans="1:5" hidden="1" x14ac:dyDescent="0.25">
      <c r="A15" s="3" t="s">
        <v>26</v>
      </c>
      <c r="B15" s="3" t="s">
        <v>54</v>
      </c>
      <c r="C15" t="s">
        <v>38</v>
      </c>
      <c r="D15" s="1">
        <v>45540</v>
      </c>
      <c r="E15" t="b">
        <f>Obchodnici[[#This Row],[nástup]]&lt;=DATE(2025,9,1)</f>
        <v>1</v>
      </c>
    </row>
    <row r="16" spans="1:5" x14ac:dyDescent="0.25">
      <c r="A16" s="14" t="s">
        <v>36</v>
      </c>
      <c r="B16" s="3" t="s">
        <v>37</v>
      </c>
      <c r="C16" t="s">
        <v>32</v>
      </c>
      <c r="D16" s="1">
        <v>45578</v>
      </c>
      <c r="E16" t="b">
        <f>Obchodnici[[#This Row],[nástup]]&lt;=DATE(2025,9,1)</f>
        <v>1</v>
      </c>
    </row>
    <row r="17" spans="1:5" hidden="1" x14ac:dyDescent="0.25">
      <c r="A17" s="3" t="s">
        <v>61</v>
      </c>
      <c r="B17" s="3" t="s">
        <v>62</v>
      </c>
      <c r="C17" t="s">
        <v>52</v>
      </c>
      <c r="D17" s="1">
        <v>45602</v>
      </c>
      <c r="E17" t="b">
        <f>Obchodnici[[#This Row],[nástup]]&lt;=DATE(2025,9,1)</f>
        <v>1</v>
      </c>
    </row>
    <row r="18" spans="1:5" x14ac:dyDescent="0.25">
      <c r="A18" s="3" t="s">
        <v>16</v>
      </c>
      <c r="B18" s="3" t="s">
        <v>63</v>
      </c>
      <c r="C18" t="s">
        <v>32</v>
      </c>
      <c r="D18" s="1">
        <v>45630</v>
      </c>
      <c r="E18" t="b">
        <f>Obchodnici[[#This Row],[nástup]]&lt;=DATE(2025,9,1)</f>
        <v>1</v>
      </c>
    </row>
    <row r="19" spans="1:5" x14ac:dyDescent="0.25">
      <c r="A19" s="14" t="s">
        <v>15</v>
      </c>
      <c r="B19" s="3" t="s">
        <v>48</v>
      </c>
      <c r="C19" t="s">
        <v>32</v>
      </c>
      <c r="D19" s="1">
        <v>45638</v>
      </c>
      <c r="E19" t="b">
        <f>Obchodnici[[#This Row],[nástup]]&lt;=DATE(2025,9,1)</f>
        <v>1</v>
      </c>
    </row>
    <row r="20" spans="1:5" hidden="1" x14ac:dyDescent="0.25">
      <c r="A20" s="14" t="s">
        <v>27</v>
      </c>
      <c r="B20" s="3" t="s">
        <v>51</v>
      </c>
      <c r="C20" t="s">
        <v>52</v>
      </c>
      <c r="D20" s="1">
        <v>45668</v>
      </c>
      <c r="E20" t="b">
        <f>Obchodnici[[#This Row],[nástup]]&lt;=DATE(2025,9,1)</f>
        <v>1</v>
      </c>
    </row>
    <row r="21" spans="1:5" hidden="1" x14ac:dyDescent="0.25">
      <c r="A21" s="3" t="s">
        <v>11</v>
      </c>
      <c r="B21" s="3" t="s">
        <v>56</v>
      </c>
      <c r="C21" t="s">
        <v>52</v>
      </c>
      <c r="D21" s="1">
        <v>45676</v>
      </c>
      <c r="E21" t="b">
        <f>Obchodnici[[#This Row],[nástup]]&lt;=DATE(2025,9,1)</f>
        <v>1</v>
      </c>
    </row>
    <row r="22" spans="1:5" x14ac:dyDescent="0.25">
      <c r="A22" s="14" t="s">
        <v>65</v>
      </c>
      <c r="B22" s="3" t="s">
        <v>66</v>
      </c>
      <c r="C22" t="s">
        <v>32</v>
      </c>
      <c r="D22" s="1">
        <v>45676</v>
      </c>
      <c r="E22" t="b">
        <f>Obchodnici[[#This Row],[nástup]]&lt;=DATE(2025,9,1)</f>
        <v>1</v>
      </c>
    </row>
    <row r="23" spans="1:5" hidden="1" x14ac:dyDescent="0.25">
      <c r="A23" s="3" t="s">
        <v>55</v>
      </c>
      <c r="B23" s="3" t="s">
        <v>405</v>
      </c>
      <c r="C23" t="s">
        <v>34</v>
      </c>
      <c r="D23" s="1">
        <v>45691</v>
      </c>
      <c r="E23" t="b">
        <f>Obchodnici[[#This Row],[nástup]]&lt;=DATE(2025,9,1)</f>
        <v>1</v>
      </c>
    </row>
    <row r="24" spans="1:5" x14ac:dyDescent="0.25">
      <c r="A24" s="14" t="s">
        <v>64</v>
      </c>
      <c r="B24" s="3" t="s">
        <v>401</v>
      </c>
      <c r="C24" t="s">
        <v>32</v>
      </c>
      <c r="D24" s="1">
        <v>45704</v>
      </c>
      <c r="E24" t="b">
        <f>Obchodnici[[#This Row],[nástup]]&lt;=DATE(2025,9,1)</f>
        <v>1</v>
      </c>
    </row>
    <row r="25" spans="1:5" x14ac:dyDescent="0.25">
      <c r="A25" s="4" t="s">
        <v>24</v>
      </c>
      <c r="B25" s="3" t="s">
        <v>57</v>
      </c>
      <c r="C25" t="s">
        <v>32</v>
      </c>
      <c r="D25" s="1">
        <v>45716</v>
      </c>
      <c r="E25" t="b">
        <f>Obchodnici[[#This Row],[nástup]]&lt;=DATE(2025,9,1)</f>
        <v>1</v>
      </c>
    </row>
    <row r="26" spans="1:5" hidden="1" x14ac:dyDescent="0.25">
      <c r="A26" s="3" t="s">
        <v>22</v>
      </c>
      <c r="B26" s="3" t="s">
        <v>58</v>
      </c>
      <c r="C26" t="s">
        <v>34</v>
      </c>
      <c r="D26" s="1">
        <v>45717</v>
      </c>
      <c r="E26" t="b">
        <f>Obchodnici[[#This Row],[nástup]]&lt;=DATE(2025,9,1)</f>
        <v>1</v>
      </c>
    </row>
    <row r="27" spans="1:5" x14ac:dyDescent="0.25">
      <c r="A27" s="4" t="s">
        <v>8</v>
      </c>
      <c r="B27" s="3" t="s">
        <v>39</v>
      </c>
      <c r="C27" t="s">
        <v>32</v>
      </c>
      <c r="D27" s="1">
        <v>45740</v>
      </c>
      <c r="E27" t="b">
        <f>Obchodnici[[#This Row],[nástup]]&lt;=DATE(2025,9,1)</f>
        <v>1</v>
      </c>
    </row>
    <row r="28" spans="1:5" hidden="1" x14ac:dyDescent="0.25">
      <c r="A28" s="4" t="s">
        <v>71</v>
      </c>
      <c r="B28" s="3" t="s">
        <v>72</v>
      </c>
      <c r="C28" t="s">
        <v>34</v>
      </c>
      <c r="D28" s="1">
        <v>45746</v>
      </c>
      <c r="E28" t="b">
        <f>Obchodnici[[#This Row],[nástup]]&lt;=DATE(2025,9,1)</f>
        <v>1</v>
      </c>
    </row>
    <row r="29" spans="1:5" hidden="1" x14ac:dyDescent="0.25">
      <c r="A29" s="4" t="s">
        <v>5</v>
      </c>
      <c r="B29" s="3" t="s">
        <v>31</v>
      </c>
      <c r="C29" t="s">
        <v>47</v>
      </c>
      <c r="D29" s="1">
        <v>45748</v>
      </c>
      <c r="E29" t="b">
        <f>Obchodnici[[#This Row],[nástup]]&lt;=DATE(2025,9,1)</f>
        <v>1</v>
      </c>
    </row>
    <row r="30" spans="1:5" hidden="1" x14ac:dyDescent="0.25">
      <c r="A30" s="4" t="s">
        <v>20</v>
      </c>
      <c r="B30" s="3" t="s">
        <v>49</v>
      </c>
      <c r="C30" t="s">
        <v>38</v>
      </c>
      <c r="D30" s="1">
        <v>45755</v>
      </c>
      <c r="E30" t="b">
        <f>Obchodnici[[#This Row],[nástup]]&lt;=DATE(2025,9,1)</f>
        <v>1</v>
      </c>
    </row>
    <row r="31" spans="1:5" x14ac:dyDescent="0.25">
      <c r="A31" s="14" t="s">
        <v>69</v>
      </c>
      <c r="B31" s="3" t="s">
        <v>70</v>
      </c>
      <c r="C31" t="s">
        <v>32</v>
      </c>
      <c r="D31" s="1">
        <v>45796</v>
      </c>
      <c r="E31" t="b">
        <f>Obchodnici[[#This Row],[nástup]]&lt;=DATE(2025,9,1)</f>
        <v>1</v>
      </c>
    </row>
    <row r="32" spans="1:5" hidden="1" x14ac:dyDescent="0.25">
      <c r="A32" s="3" t="s">
        <v>421</v>
      </c>
      <c r="B32" s="3" t="s">
        <v>414</v>
      </c>
      <c r="C32" t="s">
        <v>32</v>
      </c>
      <c r="D32" s="1">
        <v>45931</v>
      </c>
      <c r="E32" t="b">
        <f>Obchodnici[[#This Row],[nástup]]&lt;=DATE(2025,9,1)</f>
        <v>0</v>
      </c>
    </row>
    <row r="33" spans="1:5" hidden="1" x14ac:dyDescent="0.25">
      <c r="A33" s="3" t="s">
        <v>422</v>
      </c>
      <c r="B33" s="3" t="s">
        <v>415</v>
      </c>
      <c r="C33" t="s">
        <v>38</v>
      </c>
      <c r="D33" s="1">
        <v>45934</v>
      </c>
      <c r="E33" t="b">
        <f>Obchodnici[[#This Row],[nástup]]&lt;=DATE(2025,9,1)</f>
        <v>0</v>
      </c>
    </row>
    <row r="34" spans="1:5" hidden="1" x14ac:dyDescent="0.25">
      <c r="A34" s="3" t="s">
        <v>423</v>
      </c>
      <c r="B34" s="3" t="s">
        <v>416</v>
      </c>
      <c r="C34" t="s">
        <v>32</v>
      </c>
      <c r="D34" s="1">
        <v>45935</v>
      </c>
      <c r="E34" t="b">
        <f>Obchodnici[[#This Row],[nástup]]&lt;=DATE(2025,9,1)</f>
        <v>0</v>
      </c>
    </row>
    <row r="35" spans="1:5" hidden="1" x14ac:dyDescent="0.25">
      <c r="A35" s="14" t="s">
        <v>10</v>
      </c>
      <c r="B35" s="3" t="s">
        <v>41</v>
      </c>
      <c r="C35" t="s">
        <v>38</v>
      </c>
      <c r="D35" s="1">
        <v>45798</v>
      </c>
      <c r="E35" t="b">
        <f>Obchodnici[[#This Row],[nástup]]&lt;=DATE(2025,9,1)</f>
        <v>1</v>
      </c>
    </row>
    <row r="36" spans="1:5" hidden="1" x14ac:dyDescent="0.25">
      <c r="A36" s="14" t="s">
        <v>19</v>
      </c>
      <c r="B36" s="3" t="s">
        <v>46</v>
      </c>
      <c r="C36" t="s">
        <v>47</v>
      </c>
      <c r="D36" s="1">
        <v>45810</v>
      </c>
      <c r="E36" t="b">
        <f>Obchodnici[[#This Row],[nástup]]&lt;=DATE(2025,9,1)</f>
        <v>1</v>
      </c>
    </row>
    <row r="37" spans="1:5" hidden="1" x14ac:dyDescent="0.25">
      <c r="A37" s="4" t="s">
        <v>25</v>
      </c>
      <c r="B37" s="3" t="s">
        <v>60</v>
      </c>
      <c r="C37" t="s">
        <v>47</v>
      </c>
      <c r="D37" s="1">
        <v>45839</v>
      </c>
      <c r="E37" t="b">
        <f>Obchodnici[[#This Row],[nástup]]&lt;=DATE(2025,9,1)</f>
        <v>1</v>
      </c>
    </row>
    <row r="38" spans="1:5" x14ac:dyDescent="0.25">
      <c r="A38" s="4" t="s">
        <v>68</v>
      </c>
      <c r="B38" s="3" t="s">
        <v>403</v>
      </c>
      <c r="C38" t="s">
        <v>32</v>
      </c>
      <c r="D38" s="1">
        <v>45855</v>
      </c>
      <c r="E38" t="b">
        <f>Obchodnici[[#This Row],[nástup]]&lt;=DATE(2025,9,1)</f>
        <v>1</v>
      </c>
    </row>
    <row r="39" spans="1:5" x14ac:dyDescent="0.25">
      <c r="A39" s="4" t="s">
        <v>59</v>
      </c>
      <c r="B39" s="3" t="s">
        <v>406</v>
      </c>
      <c r="C39" t="s">
        <v>32</v>
      </c>
      <c r="D39" s="1">
        <v>45873</v>
      </c>
      <c r="E39" t="b">
        <f>Obchodnici[[#This Row],[nástup]]&lt;=DATE(2025,9,1)</f>
        <v>1</v>
      </c>
    </row>
    <row r="40" spans="1:5" hidden="1" x14ac:dyDescent="0.25">
      <c r="A40" s="4" t="s">
        <v>426</v>
      </c>
      <c r="B40" s="3" t="s">
        <v>417</v>
      </c>
      <c r="C40" t="s">
        <v>52</v>
      </c>
      <c r="D40" s="1">
        <v>45901</v>
      </c>
      <c r="E40" t="b">
        <f>Obchodnici[[#This Row],[nástup]]&lt;=DATE(2025,9,1)</f>
        <v>1</v>
      </c>
    </row>
    <row r="41" spans="1:5" x14ac:dyDescent="0.25">
      <c r="A41" s="4" t="s">
        <v>427</v>
      </c>
      <c r="B41" s="3" t="s">
        <v>420</v>
      </c>
      <c r="C41" t="s">
        <v>32</v>
      </c>
      <c r="D41" s="1">
        <v>45901</v>
      </c>
      <c r="E41" t="b">
        <f>Obchodnici[[#This Row],[nástup]]&lt;=DATE(2025,9,1)</f>
        <v>1</v>
      </c>
    </row>
    <row r="42" spans="1:5" hidden="1" x14ac:dyDescent="0.25">
      <c r="A42" s="4" t="s">
        <v>425</v>
      </c>
      <c r="B42" s="3" t="s">
        <v>412</v>
      </c>
      <c r="C42" t="s">
        <v>47</v>
      </c>
      <c r="D42" s="1">
        <v>45901</v>
      </c>
      <c r="E42" t="b">
        <f>Obchodnici[[#This Row],[nástup]]&lt;=DATE(2025,9,1)</f>
        <v>1</v>
      </c>
    </row>
    <row r="43" spans="1:5" hidden="1" x14ac:dyDescent="0.25">
      <c r="A43" s="4" t="s">
        <v>428</v>
      </c>
      <c r="B43" s="3" t="s">
        <v>418</v>
      </c>
      <c r="C43" t="s">
        <v>34</v>
      </c>
      <c r="D43" s="1">
        <v>45901</v>
      </c>
      <c r="E43" t="b">
        <f>Obchodnici[[#This Row],[nástup]]&lt;=DATE(2025,9,1)</f>
        <v>1</v>
      </c>
    </row>
    <row r="44" spans="1:5" x14ac:dyDescent="0.25">
      <c r="A44" s="4" t="s">
        <v>429</v>
      </c>
      <c r="B44" s="3" t="s">
        <v>419</v>
      </c>
      <c r="C44" t="s">
        <v>32</v>
      </c>
      <c r="D44" s="1">
        <v>45901</v>
      </c>
      <c r="E44" t="b">
        <f>Obchodnici[[#This Row],[nástup]]&lt;=DATE(2025,9,1)</f>
        <v>1</v>
      </c>
    </row>
    <row r="45" spans="1:5" hidden="1" x14ac:dyDescent="0.25">
      <c r="A45" s="4" t="s">
        <v>424</v>
      </c>
      <c r="B45" s="3" t="s">
        <v>411</v>
      </c>
      <c r="C45" t="s">
        <v>34</v>
      </c>
      <c r="D45" s="1">
        <v>45901</v>
      </c>
      <c r="E45" t="b">
        <f>Obchodnici[[#This Row],[nástup]]&lt;=DATE(2025,9,1)</f>
        <v>1</v>
      </c>
    </row>
    <row r="46" spans="1:5" hidden="1" x14ac:dyDescent="0.25">
      <c r="A46" s="4" t="s">
        <v>430</v>
      </c>
      <c r="B46" s="3" t="s">
        <v>413</v>
      </c>
      <c r="C46" t="s">
        <v>47</v>
      </c>
      <c r="D46" s="1">
        <v>45901</v>
      </c>
      <c r="E46" t="b">
        <f>Obchodnici[[#This Row],[nástup]]&lt;=DATE(2025,9,1)</f>
        <v>1</v>
      </c>
    </row>
  </sheetData>
  <conditionalFormatting sqref="A3:A47">
    <cfRule type="duplicateValues" dxfId="6" priority="1"/>
  </conditionalFormatting>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46B3-E3ED-483E-8A9E-E50473261561}">
  <dimension ref="B2:M12"/>
  <sheetViews>
    <sheetView workbookViewId="0">
      <selection activeCell="G24" sqref="G24"/>
    </sheetView>
  </sheetViews>
  <sheetFormatPr defaultRowHeight="15" x14ac:dyDescent="0.25"/>
  <cols>
    <col min="2" max="2" width="14.28515625" customWidth="1"/>
    <col min="3" max="3" width="16.42578125" customWidth="1"/>
    <col min="4" max="4" width="15.28515625" customWidth="1"/>
    <col min="6" max="6" width="12.7109375" customWidth="1"/>
    <col min="7" max="7" width="13.140625" bestFit="1" customWidth="1"/>
    <col min="11" max="11" width="10.5703125" bestFit="1" customWidth="1"/>
    <col min="13" max="13" width="13.140625" bestFit="1" customWidth="1"/>
  </cols>
  <sheetData>
    <row r="2" spans="2:13" x14ac:dyDescent="0.25">
      <c r="B2" t="s">
        <v>73</v>
      </c>
    </row>
    <row r="4" spans="2:13" x14ac:dyDescent="0.25">
      <c r="B4" s="7" t="s">
        <v>77</v>
      </c>
      <c r="F4" s="7" t="s">
        <v>78</v>
      </c>
      <c r="K4" s="7" t="s">
        <v>79</v>
      </c>
    </row>
    <row r="5" spans="2:13" x14ac:dyDescent="0.25">
      <c r="B5" t="s">
        <v>74</v>
      </c>
      <c r="C5" t="s">
        <v>75</v>
      </c>
      <c r="F5" t="s">
        <v>74</v>
      </c>
      <c r="G5" t="s">
        <v>75</v>
      </c>
      <c r="K5" t="s">
        <v>74</v>
      </c>
      <c r="M5" t="s">
        <v>75</v>
      </c>
    </row>
    <row r="6" spans="2:13" x14ac:dyDescent="0.25">
      <c r="B6" s="5" t="s">
        <v>76</v>
      </c>
      <c r="C6" s="5">
        <v>190</v>
      </c>
      <c r="F6" s="5" t="s">
        <v>410</v>
      </c>
      <c r="G6" s="5">
        <v>220</v>
      </c>
      <c r="K6" s="5" t="s">
        <v>409</v>
      </c>
      <c r="L6" s="2"/>
      <c r="M6" s="5">
        <v>250</v>
      </c>
    </row>
    <row r="7" spans="2:13" x14ac:dyDescent="0.25">
      <c r="C7" s="5"/>
      <c r="G7" s="5"/>
      <c r="I7" s="5"/>
    </row>
    <row r="9" spans="2:13" x14ac:dyDescent="0.25">
      <c r="B9" t="s">
        <v>431</v>
      </c>
      <c r="C9" t="s">
        <v>74</v>
      </c>
      <c r="D9" t="s">
        <v>433</v>
      </c>
    </row>
    <row r="10" spans="2:13" x14ac:dyDescent="0.25">
      <c r="B10" t="s">
        <v>82</v>
      </c>
      <c r="C10" s="5" t="s">
        <v>76</v>
      </c>
      <c r="D10" s="5">
        <v>190</v>
      </c>
    </row>
    <row r="11" spans="2:13" x14ac:dyDescent="0.25">
      <c r="B11" t="s">
        <v>80</v>
      </c>
      <c r="C11" s="5" t="s">
        <v>410</v>
      </c>
      <c r="D11" s="5">
        <v>220</v>
      </c>
    </row>
    <row r="12" spans="2:13" x14ac:dyDescent="0.25">
      <c r="B12" t="s">
        <v>432</v>
      </c>
      <c r="C12" s="5" t="s">
        <v>409</v>
      </c>
      <c r="D12" s="5">
        <v>250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vt:i4>
      </vt:variant>
    </vt:vector>
  </HeadingPairs>
  <TitlesOfParts>
    <vt:vector size="5" baseType="lpstr">
      <vt:lpstr>Zadání</vt:lpstr>
      <vt:lpstr>List1</vt:lpstr>
      <vt:lpstr>prodeje</vt:lpstr>
      <vt:lpstr>Obchodníci</vt:lpstr>
      <vt:lpstr>produkty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Tintěra</dc:creator>
  <cp:keywords/>
  <dc:description/>
  <cp:lastModifiedBy>Ondřej Švorc</cp:lastModifiedBy>
  <cp:revision/>
  <dcterms:created xsi:type="dcterms:W3CDTF">2021-10-18T08:35:49Z</dcterms:created>
  <dcterms:modified xsi:type="dcterms:W3CDTF">2026-01-16T17:12:09Z</dcterms:modified>
  <cp:category/>
  <cp:contentStatus/>
</cp:coreProperties>
</file>